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Value" sheetId="2" r:id="rId2"/>
    <sheet name="Vendor Scorecard" sheetId="3" r:id="rId3"/>
    <sheet name="On-time Trend" sheetId="4" r:id="rId4"/>
    <sheet name="Past-due Open Lines" sheetId="5" r:id="rId5"/>
    <sheet name="Price Above PO" sheetId="6" r:id="rId6"/>
    <sheet name="Revised Confirmations" sheetId="7" r:id="rId7"/>
    <sheet name="PN Crosswalk" sheetId="8" r:id="rId8"/>
    <sheet name="Data Quality" sheetId="9" r:id="rId9"/>
    <sheet name="Definitions" sheetId="10" r:id="rId10"/>
  </sheets>
  <definedNames>
    <definedName name="_xlnm._FilterDatabase" localSheetId="4" hidden="1">'Past-due Open Lines'!$A$1:$L$41</definedName>
  </definedNames>
  <calcPr calcId="124519" fullCalcOnLoad="1"/>
</workbook>
</file>

<file path=xl/sharedStrings.xml><?xml version="1.0" encoding="utf-8"?>
<sst xmlns="http://schemas.openxmlformats.org/spreadsheetml/2006/main" count="686" uniqueCount="388">
  <si>
    <t>Beacon vendor performance readout - ERP history 09/06/2025 to 05/17/2026 (as of 05/17/2026)</t>
  </si>
  <si>
    <t>CALL CONTINENTAL QUALITY HEAT TREAT FIRST</t>
  </si>
  <si>
    <t>• Late most often: 42% of 134 due lines arrived on time. The other five vendors range from 69% to 99%.</t>
  </si>
  <si>
    <t>• Late by the most: 61 of the 63 lines that arrived more than 7 days late across all vendors are Continental's ($660k of $666k received value). When late, the median delay is 17 days (worst 28). Every other vendor lands 99% or more of its lines within 7 days.</t>
  </si>
  <si>
    <t>• Warns it will be late, then misses its own date too: 91% of its confirmations promise a date after our required date (avg +8.5 days; other vendors avg +0.2 to +2.6). It then meets only 58% of its own promises.</t>
  </si>
  <si>
    <t>• Not getting better: 45% on time for lines due Sep–Dec (n=56) vs 40% for Jan–May (n=78). It has been consistently poor, not a recent slip.</t>
  </si>
  <si>
    <t>• Material: $1.51M received (5.4% of spend) in outside heat-treat services. 7 open lines are past due today ($14k).</t>
  </si>
  <si>
    <t>What to ask them</t>
  </si>
  <si>
    <t>• Our planned lead time for heat treat is 19 days from PO; you quote 28 and deliver in 24.5 (medians). Can you commit to a standard lead time we can load into MRP?</t>
  </si>
  <si>
    <t>• When you do confirm a date, you meet it 58% of the time. What is driving the misses: furnace capacity, batching, or incoming parts?</t>
  </si>
  <si>
    <t>• Split shipments: 51% of lines come in more than one shipment. Can partial lots be avoided or flagged?</t>
  </si>
  <si>
    <t>• Beacon side: our 19-day heat-treat lead time is about 9 days shorter than what Continental quotes. Part of this lateness is ours to fix in planning.</t>
  </si>
  <si>
    <t>SECOND CALL</t>
  </si>
  <si>
    <t>Apex Bar &amp; Tube Co.: the dollar and commercial conversation, not a delivery one. 85% of all received value ($23.98M). On time 87%, but when late the median is 1 day and 0 lines were more than 7 days late. The issues: (1) BAR-CRES-250 confirmed at +1% from Feb and +2% from Mar while every PO stayed at $3.92: 11 lines, $8,522 over PO on ordered qty, and nothing in the ERP captures it. (2) 8 short-shipped balances left open ($77k, the largest past-due exposure of any vendor). (3) This week's acknowledgments show the same pattern: a dropped line, a short and a +2.3% price.</t>
  </si>
  <si>
    <t>WATCH</t>
  </si>
  <si>
    <t>• Heritage Cold Heading: on time 72%, and 60% of promises are after our need date (avg +2.6 days). Delays are short (median 3 days, 2 lines over 7 days). 10 short-shipped balances are still open.</t>
  </si>
  <si>
    <t>• Liberty Surface Finishing: slipping from 95% (Sep–Dec) to 87% (Jan–May). The change is not statistically significant (p=0.13) and misses are 1–3 days, so watch it rather than call.</t>
  </si>
  <si>
    <t>• Ostmark Werkzeug GmbH: on time 69% but never more than 6 days late. Watch the open die-set order PO-4500050027 (25 x TOOL-DIE-9472, $31k, due 05/15, nothing received). This week's acknowledgment gives only 'KW 20-22'.</t>
  </si>
  <si>
    <t>• QuickShip Industrial: the benchmark at 99% on time, but only $13k of spend.</t>
  </si>
  <si>
    <t>Tabs: Monthly Value | Vendor Scorecard | On-time Trend | Past-due Open Lines | Price Above PO | Revised Confirmations | PN Crosswalk | Data Quality | Definitions</t>
  </si>
  <si>
    <t>Month</t>
  </si>
  <si>
    <t>Apex Bar &amp; Tube Co.</t>
  </si>
  <si>
    <t>Heritage Cold Heading</t>
  </si>
  <si>
    <t>Liberty Surface Finishing</t>
  </si>
  <si>
    <t>Continental Quality Heat Treat</t>
  </si>
  <si>
    <t>Ostmark Werkzeug GmbH</t>
  </si>
  <si>
    <t>QuickShip Industrial</t>
  </si>
  <si>
    <t>Total</t>
  </si>
  <si>
    <t>Receipts</t>
  </si>
  <si>
    <t>Vendors receiving</t>
  </si>
  <si>
    <t>2025-09 (partial)</t>
  </si>
  <si>
    <t>2025-10</t>
  </si>
  <si>
    <t>2025-11</t>
  </si>
  <si>
    <t>2025-12</t>
  </si>
  <si>
    <t>2026-01</t>
  </si>
  <si>
    <t>2026-02</t>
  </si>
  <si>
    <t>2026-03</t>
  </si>
  <si>
    <t>2026-04</t>
  </si>
  <si>
    <t>2026-05 (partial)</t>
  </si>
  <si>
    <t>Received value = net receipt qty (reversals netted, 1 unreversed duplicate excluded) x PO unit price, USD, by receipt month. First and last months are partial.</t>
  </si>
  <si>
    <t>Metric</t>
  </si>
  <si>
    <t>Received value</t>
  </si>
  <si>
    <t>Share of value</t>
  </si>
  <si>
    <t>Non-cancelled POs</t>
  </si>
  <si>
    <t>Due lines scored</t>
  </si>
  <si>
    <t>On time %</t>
  </si>
  <si>
    <t>Late lines</t>
  </si>
  <si>
    <t>Lines &gt;7d late</t>
  </si>
  <si>
    <t>% lines &gt;7d late</t>
  </si>
  <si>
    <t>$ received &gt;7d late</t>
  </si>
  <si>
    <t>$ received late (any)</t>
  </si>
  <si>
    <t>Avg days late (when late)</t>
  </si>
  <si>
    <t>Median days late (when late)</t>
  </si>
  <si>
    <t>Max days late</t>
  </si>
  <si>
    <t>On time with 7d grace</t>
  </si>
  <si>
    <t>OTIF (full qty by required date)</t>
  </si>
  <si>
    <t>On time on FIRST receipt</t>
  </si>
  <si>
    <t>Lines with live confirmation</t>
  </si>
  <si>
    <t>% promised after required</t>
  </si>
  <si>
    <t>Avg promise gap (days)</t>
  </si>
  <si>
    <t>On time vs own promise</t>
  </si>
  <si>
    <t>Lead time allowed (median d)</t>
  </si>
  <si>
    <t>Lead time quoted (median d)</t>
  </si>
  <si>
    <t>Lead time actual (median d)</t>
  </si>
  <si>
    <t>% lines split-shipped</t>
  </si>
  <si>
    <t>Confirmation coverage (POs to 03/30)</t>
  </si>
  <si>
    <t>Revised confirmations</t>
  </si>
  <si>
    <t xml:space="preserve">  of which date push-outs</t>
  </si>
  <si>
    <t>Past-due open lines</t>
  </si>
  <si>
    <t>Past-due open $</t>
  </si>
  <si>
    <t xml:space="preserve">  of which nothing received</t>
  </si>
  <si>
    <t xml:space="preserve">  of which short-shipped balance</t>
  </si>
  <si>
    <t>Lines confirmed above PO price</t>
  </si>
  <si>
    <t>Price exposure (ordered qty)</t>
  </si>
  <si>
    <t>QC holds</t>
  </si>
  <si>
    <t>QC holds unreleased</t>
  </si>
  <si>
    <t>Holds per 100 received POs</t>
  </si>
  <si>
    <t>On time Sep-Dec</t>
  </si>
  <si>
    <t xml:space="preserve">  n</t>
  </si>
  <si>
    <t>On time Jan-May</t>
  </si>
  <si>
    <t>Trend p-value (Fisher)</t>
  </si>
  <si>
    <t>Required month</t>
  </si>
  <si>
    <t>Apex Bar &amp; Tube Co. on time</t>
  </si>
  <si>
    <t>n</t>
  </si>
  <si>
    <t>Heritage Cold Heading on time</t>
  </si>
  <si>
    <t>Liberty Surface Finishing on time</t>
  </si>
  <si>
    <t>Continental Quality Heat Treat on time</t>
  </si>
  <si>
    <t>Ostmark Werkzeug GmbH on time</t>
  </si>
  <si>
    <t>QuickShip Industrial on time</t>
  </si>
  <si>
    <t>2025-09</t>
  </si>
  <si>
    <t>2026-05</t>
  </si>
  <si>
    <t>Vendor</t>
  </si>
  <si>
    <t>PO</t>
  </si>
  <si>
    <t>Line</t>
  </si>
  <si>
    <t>Part</t>
  </si>
  <si>
    <t>Ordered</t>
  </si>
  <si>
    <t>Received</t>
  </si>
  <si>
    <t>Balance</t>
  </si>
  <si>
    <t>Balance $</t>
  </si>
  <si>
    <t>Required</t>
  </si>
  <si>
    <t>Days past due</t>
  </si>
  <si>
    <t>Type</t>
  </si>
  <si>
    <t>Last receipt</t>
  </si>
  <si>
    <t>PO-4500050027</t>
  </si>
  <si>
    <t>TOOL-DIE-9472</t>
  </si>
  <si>
    <t>2026-05-15</t>
  </si>
  <si>
    <t>Nothing received</t>
  </si>
  <si>
    <t>PO-4500045503</t>
  </si>
  <si>
    <t>BAR-TI64-188</t>
  </si>
  <si>
    <t>2025-10-14</t>
  </si>
  <si>
    <t>Short-shipped balance left open</t>
  </si>
  <si>
    <t>2025-10-08</t>
  </si>
  <si>
    <t>PO-4500045921</t>
  </si>
  <si>
    <t>2025-12-26</t>
  </si>
  <si>
    <t>PO-4500046944</t>
  </si>
  <si>
    <t>HT-STRESS</t>
  </si>
  <si>
    <t>PO-4500045662</t>
  </si>
  <si>
    <t>BAR-A286-375</t>
  </si>
  <si>
    <t>2026-04-06</t>
  </si>
  <si>
    <t>2026-04-01</t>
  </si>
  <si>
    <t>PO-4500045901</t>
  </si>
  <si>
    <t>2026-03-03</t>
  </si>
  <si>
    <t>PO-4500045536</t>
  </si>
  <si>
    <t>BAR-CRES-250</t>
  </si>
  <si>
    <t>2026-04-24</t>
  </si>
  <si>
    <t>2026-04-21</t>
  </si>
  <si>
    <t>PO-4500045694</t>
  </si>
  <si>
    <t>2026-03-26</t>
  </si>
  <si>
    <t>2026-03-19</t>
  </si>
  <si>
    <t>PO-4500045902</t>
  </si>
  <si>
    <t>2026-03-12</t>
  </si>
  <si>
    <t>PO-4500046876</t>
  </si>
  <si>
    <t>HT-SOLN</t>
  </si>
  <si>
    <t>2025-12-17</t>
  </si>
  <si>
    <t>2026-01-03</t>
  </si>
  <si>
    <t>PO-4500046185</t>
  </si>
  <si>
    <t>CHB-5520</t>
  </si>
  <si>
    <t>2025-12-10</t>
  </si>
  <si>
    <t>PO-4500050025</t>
  </si>
  <si>
    <t>2026-05-07</t>
  </si>
  <si>
    <t>PO-4500050024</t>
  </si>
  <si>
    <t>2026-05-09</t>
  </si>
  <si>
    <t>PO-4500046863</t>
  </si>
  <si>
    <t>2026-05-13</t>
  </si>
  <si>
    <t>2026-05-17</t>
  </si>
  <si>
    <t>BAR-4130-312</t>
  </si>
  <si>
    <t>2026-03-04</t>
  </si>
  <si>
    <t>TOOL-INS-CAR</t>
  </si>
  <si>
    <t>PO-4500046202</t>
  </si>
  <si>
    <t>CHB-9472-3</t>
  </si>
  <si>
    <t>2026-02-19</t>
  </si>
  <si>
    <t>2026-02-23</t>
  </si>
  <si>
    <t>PO-4500046523</t>
  </si>
  <si>
    <t>PLAT-PASV</t>
  </si>
  <si>
    <t>PO-4500046323</t>
  </si>
  <si>
    <t>2026-02-03</t>
  </si>
  <si>
    <t>2026-02-10</t>
  </si>
  <si>
    <t>PO-4500045999</t>
  </si>
  <si>
    <t>2025-10-31</t>
  </si>
  <si>
    <t>2025-10-25</t>
  </si>
  <si>
    <t>PO-4500046357</t>
  </si>
  <si>
    <t>2026-01-20</t>
  </si>
  <si>
    <t>2026-01-10</t>
  </si>
  <si>
    <t>PO-4500046120</t>
  </si>
  <si>
    <t>2026-04-28</t>
  </si>
  <si>
    <t>PO-4500046226</t>
  </si>
  <si>
    <t>CHB-3301</t>
  </si>
  <si>
    <t>2025-11-06</t>
  </si>
  <si>
    <t>2025-11-08</t>
  </si>
  <si>
    <t>PO-4500046787</t>
  </si>
  <si>
    <t>HT-PRECIP</t>
  </si>
  <si>
    <t>2025-10-24</t>
  </si>
  <si>
    <t>2025-10-23</t>
  </si>
  <si>
    <t>PO-4500050021</t>
  </si>
  <si>
    <t>PO-4500046799</t>
  </si>
  <si>
    <t>2025-12-24</t>
  </si>
  <si>
    <t>2025-12-20</t>
  </si>
  <si>
    <t>PO-4500046166</t>
  </si>
  <si>
    <t>2026-04-16</t>
  </si>
  <si>
    <t>2026-04-12</t>
  </si>
  <si>
    <t>PO-4500046419</t>
  </si>
  <si>
    <t>PLAT-CAD</t>
  </si>
  <si>
    <t>2026-03-18</t>
  </si>
  <si>
    <t>2026-03-14</t>
  </si>
  <si>
    <t>PO-4500046755</t>
  </si>
  <si>
    <t>PLAT-ZN</t>
  </si>
  <si>
    <t>2026-01-15</t>
  </si>
  <si>
    <t>2026-01-14</t>
  </si>
  <si>
    <t>PO-4500046083</t>
  </si>
  <si>
    <t>2025-10-17</t>
  </si>
  <si>
    <t>2025-10-11</t>
  </si>
  <si>
    <t>PO-4500046704</t>
  </si>
  <si>
    <t>2025-11-04</t>
  </si>
  <si>
    <t>PO-4500046429</t>
  </si>
  <si>
    <t>2026-04-30</t>
  </si>
  <si>
    <t>2026-04-27</t>
  </si>
  <si>
    <t>PO-4500046363</t>
  </si>
  <si>
    <t>CHB-7715</t>
  </si>
  <si>
    <t>2026-02-26</t>
  </si>
  <si>
    <t>2026-03-05</t>
  </si>
  <si>
    <t>PO-4500050031</t>
  </si>
  <si>
    <t>MISC-WAS-A25</t>
  </si>
  <si>
    <t>PO-4500046515</t>
  </si>
  <si>
    <t>2026-03-31</t>
  </si>
  <si>
    <t>2026-03-24</t>
  </si>
  <si>
    <t>PO-4500047234</t>
  </si>
  <si>
    <t>2026-04-23</t>
  </si>
  <si>
    <t>PO-4500046586</t>
  </si>
  <si>
    <t>2025-12-22</t>
  </si>
  <si>
    <t>2025-12-21</t>
  </si>
  <si>
    <t>PO-4500046481</t>
  </si>
  <si>
    <t>2025-11-10</t>
  </si>
  <si>
    <t>2025-11-07</t>
  </si>
  <si>
    <t>PO-4500047308</t>
  </si>
  <si>
    <t>MISC-SPR-001</t>
  </si>
  <si>
    <t>2026-02-25</t>
  </si>
  <si>
    <t>2026-02-22</t>
  </si>
  <si>
    <t>PO-4500047214</t>
  </si>
  <si>
    <t>2025-12-25</t>
  </si>
  <si>
    <t>OPEN lines with required date before 05/17/2026 and received qty below ordered. Short-shipped balances months old are likely vendor short-ships never closed: chase or short-close.</t>
  </si>
  <si>
    <t>PO price</t>
  </si>
  <si>
    <t>Confirmed price</t>
  </si>
  <si>
    <t>Var %</t>
  </si>
  <si>
    <t>Ordered qty</t>
  </si>
  <si>
    <t>Exposure ordered $</t>
  </si>
  <si>
    <t>Exposure received $</t>
  </si>
  <si>
    <t>Confirmation date</t>
  </si>
  <si>
    <t>PO-4500045575</t>
  </si>
  <si>
    <t>2026-02-18</t>
  </si>
  <si>
    <t>PO-4500045627</t>
  </si>
  <si>
    <t>PO-4500045826</t>
  </si>
  <si>
    <t>PO-4500045866</t>
  </si>
  <si>
    <t>2026-02-27</t>
  </si>
  <si>
    <t>PO-4500045578</t>
  </si>
  <si>
    <t>2026-03-02</t>
  </si>
  <si>
    <t>PO-4500045783</t>
  </si>
  <si>
    <t>PO-4500045696</t>
  </si>
  <si>
    <t>2026-03-07</t>
  </si>
  <si>
    <t>2026-03-13</t>
  </si>
  <si>
    <t>PO-4500045583</t>
  </si>
  <si>
    <t>2026-03-22</t>
  </si>
  <si>
    <t>PO-4500045629</t>
  </si>
  <si>
    <t>PO-4500045701</t>
  </si>
  <si>
    <t>2026-04-02</t>
  </si>
  <si>
    <t>Original qty</t>
  </si>
  <si>
    <t>Revised qty</t>
  </si>
  <si>
    <t>Original promise</t>
  </si>
  <si>
    <t>Revised promise</t>
  </si>
  <si>
    <t>What changed</t>
  </si>
  <si>
    <t>PO-4500045512</t>
  </si>
  <si>
    <t>2025-11-25</t>
  </si>
  <si>
    <t>qty raised</t>
  </si>
  <si>
    <t>PO-4500045570</t>
  </si>
  <si>
    <t>2026-02-17</t>
  </si>
  <si>
    <t>2026-02-24</t>
  </si>
  <si>
    <t>date pushed out</t>
  </si>
  <si>
    <t>PO-4500045646</t>
  </si>
  <si>
    <t>2026-01-02</t>
  </si>
  <si>
    <t>2026-05-05</t>
  </si>
  <si>
    <t>PO-4500045863</t>
  </si>
  <si>
    <t>2026-03-16</t>
  </si>
  <si>
    <t>2026-03-23</t>
  </si>
  <si>
    <t>PO-4500045896</t>
  </si>
  <si>
    <t>2026-01-01</t>
  </si>
  <si>
    <t>2026-01-08</t>
  </si>
  <si>
    <t>PO-4500045967</t>
  </si>
  <si>
    <t>PO-4500045968</t>
  </si>
  <si>
    <t>PO-4500046027</t>
  </si>
  <si>
    <t>PO-4500046051</t>
  </si>
  <si>
    <t>PO-4500046086</t>
  </si>
  <si>
    <t>2025-11-01</t>
  </si>
  <si>
    <t>PO-4500046156</t>
  </si>
  <si>
    <t>2026-04-19</t>
  </si>
  <si>
    <t>PO-4500046180</t>
  </si>
  <si>
    <t>2025-11-26</t>
  </si>
  <si>
    <t>PO-4500046289</t>
  </si>
  <si>
    <t>2026-03-27</t>
  </si>
  <si>
    <t>PO-4500046300</t>
  </si>
  <si>
    <t>2025-10-15</t>
  </si>
  <si>
    <t>PO-4500046476</t>
  </si>
  <si>
    <t>2025-10-30</t>
  </si>
  <si>
    <t>PO-4500046559</t>
  </si>
  <si>
    <t>2026-03-11</t>
  </si>
  <si>
    <t>PO-4500046660</t>
  </si>
  <si>
    <t>PO-4500046721</t>
  </si>
  <si>
    <t>PO-4500046850</t>
  </si>
  <si>
    <t>PO-4500046882</t>
  </si>
  <si>
    <t>2026-01-27</t>
  </si>
  <si>
    <t>PO-4500046907</t>
  </si>
  <si>
    <t>2025-10-20</t>
  </si>
  <si>
    <t>PO-4500046968</t>
  </si>
  <si>
    <t>PO-4500047058</t>
  </si>
  <si>
    <t>2025-11-17</t>
  </si>
  <si>
    <t>PO-4500047170</t>
  </si>
  <si>
    <t>PO-4500047201</t>
  </si>
  <si>
    <t>2025-11-05</t>
  </si>
  <si>
    <t>2025-11-12</t>
  </si>
  <si>
    <t>PO-4500047237</t>
  </si>
  <si>
    <t>2025-09-13</t>
  </si>
  <si>
    <t>PO-4500047243</t>
  </si>
  <si>
    <t>2025-11-19</t>
  </si>
  <si>
    <t>Vendor PN</t>
  </si>
  <si>
    <t>Beacon PN</t>
  </si>
  <si>
    <t>Source</t>
  </si>
  <si>
    <t>Status / note</t>
  </si>
  <si>
    <t>APH-441-OS</t>
  </si>
  <si>
    <t>CHB-9472-4</t>
  </si>
  <si>
    <t>This week's PDF (inferred by qty+price)</t>
  </si>
  <si>
    <t>PENDING REVIEW. ERP history uses APH-4411 for this part: vendor renumbered?</t>
  </si>
  <si>
    <t>OST-CAR-A-100</t>
  </si>
  <si>
    <t>PENDING REVIEW. ERP history uses WZ-HM-EIN for this part: vendor renumbered?</t>
  </si>
  <si>
    <t>APH-125</t>
  </si>
  <si>
    <t>ERP confirmations joined to PO lines</t>
  </si>
  <si>
    <t>Seen 36 times, 2025-09-04 to 2026-03-19</t>
  </si>
  <si>
    <t>APH-318</t>
  </si>
  <si>
    <t>Seen 44 times, 2025-09-17 to 2026-04-03</t>
  </si>
  <si>
    <t>APH-441</t>
  </si>
  <si>
    <t>Seen 30 times, 2025-09-10 to 2026-04-02</t>
  </si>
  <si>
    <t>APH-4411</t>
  </si>
  <si>
    <t>Seen 35 times, 2025-09-04 to 2026-03-22</t>
  </si>
  <si>
    <t>K-1050</t>
  </si>
  <si>
    <t>Seen 41 times, 2025-09-03 to 2026-03-31. Same PN used by another vendor for a different part.</t>
  </si>
  <si>
    <t>TOOL-PUNCH-STD</t>
  </si>
  <si>
    <t>Seen 18 times, 2025-09-14 to 2026-02-27. Same PN used by another vendor for a different part.</t>
  </si>
  <si>
    <t>WZ-9472-DS</t>
  </si>
  <si>
    <t>Seen 20 times, 2025-09-08 to 2026-03-31</t>
  </si>
  <si>
    <t>WZ-HM-EIN</t>
  </si>
  <si>
    <t>Seen 17 times, 2025-09-09 to 2026-03-24</t>
  </si>
  <si>
    <t>Issue found in the ERP extract</t>
  </si>
  <si>
    <t>Count / value</t>
  </si>
  <si>
    <t>How it was handled</t>
  </si>
  <si>
    <t>Keyed-in-error receipts reversed (RV + the R it cancels)</t>
  </si>
  <si>
    <t>50</t>
  </si>
  <si>
    <t>Dropped both rows for shipment dates/counts; nets to zero for value.</t>
  </si>
  <si>
    <t>Unreversed duplicate receipts (same line+qty within 7 days, pushes line over ordered)</t>
  </si>
  <si>
    <t>1</t>
  </si>
  <si>
    <t>Excluded: txn 701546</t>
  </si>
  <si>
    <t>receipt_txn.txn_date format</t>
  </si>
  <si>
    <t>MM/DD/YYYY</t>
  </si>
  <si>
    <t>Parsed explicitly; SQLite date() returns NULL on all rows.</t>
  </si>
  <si>
    <t>po_line.qty_received disagrees with receipt_txn</t>
  </si>
  <si>
    <t>169</t>
  </si>
  <si>
    <t>Field ignored; receipts are the source of truth.</t>
  </si>
  <si>
    <t>Superseded confirmations</t>
  </si>
  <si>
    <t>30</t>
  </si>
  <si>
    <t>Only the live (latest) confirmation is used.</t>
  </si>
  <si>
    <t>Confirmation feed ends (last doc_date)</t>
  </si>
  <si>
    <t>2026-04-03</t>
  </si>
  <si>
    <t>Confirmation metrics use POs dated on/before 2026-03-30 only.</t>
  </si>
  <si>
    <t>Cancelled POs</t>
  </si>
  <si>
    <t>5</t>
  </si>
  <si>
    <t>Excluded everywhere (none have receipts).</t>
  </si>
  <si>
    <t>Ostmark EUR confirmations / PO price ratio</t>
  </si>
  <si>
    <t>0.92</t>
  </si>
  <si>
    <t>PO prices are USD already; no FX applied to received value.</t>
  </si>
  <si>
    <t>qc_hold dates before the PO existed</t>
  </si>
  <si>
    <t>16</t>
  </si>
  <si>
    <t>Hold dates unreliable -&gt; holds shown as counts only, not ranked on.</t>
  </si>
  <si>
    <t>Unused/decoy tables</t>
  </si>
  <si>
    <t>gl_account, ship_method, user_master, plant_calendar, mrp_message</t>
  </si>
  <si>
    <t>No link to vendor performance (MRP messages reflect Beacon demand changes).</t>
  </si>
  <si>
    <t>Received value under different (wrong) approaches</t>
  </si>
  <si>
    <t>Corrected</t>
  </si>
  <si>
    <t>Counting 'R' receipts only: reversed keying errors + unreversed duplicate kept</t>
  </si>
  <si>
    <t>Using po_line.qty_received</t>
  </si>
  <si>
    <t>Extra if Ostmark converted from EUR again</t>
  </si>
  <si>
    <t>Definition (numerator / denominator / period / exclusions)</t>
  </si>
  <si>
    <t>Sum of net receipt qty (R minus reversals; unreversed duplicate excluded) x PO line unit price, bucketed by receipt month. USD. Receipts carry no price, so this is value at PO price, not invoiced cost.</t>
  </si>
  <si>
    <t>Due lines</t>
  </si>
  <si>
    <t>Non-cancelled PO lines with required date on/before the as-of date and at least one valid receipt.</t>
  </si>
  <si>
    <t>On-time %</t>
  </si>
  <si>
    <t>Due lines whose LAST valid receipt (the one that completes the line) is on/before the required date / due lines.</t>
  </si>
  <si>
    <t>Severely late</t>
  </si>
  <si>
    <t>Due lines whose last receipt is more than 7 days after the required date.</t>
  </si>
  <si>
    <t>$ severely late</t>
  </si>
  <si>
    <t>Received value (capped at ordered qty) on severely late lines.</t>
  </si>
  <si>
    <t>Promised late %</t>
  </si>
  <si>
    <t>Live confirmations whose promised date is after our required date / lines with a live confirmation.</t>
  </si>
  <si>
    <t>On-time vs promise</t>
  </si>
  <si>
    <t>Lines received on/before the vendor's own promised date / lines with a live confirmation.</t>
  </si>
  <si>
    <t>Lead time (median days from PO date)</t>
  </si>
  <si>
    <t>Allowed = required - PO date; Quoted = promised - PO date; Actual = last receipt - PO date.</t>
  </si>
  <si>
    <t>Past-due open</t>
  </si>
  <si>
    <t>OPEN lines with required date before as-of and received qty &lt; ordered; value = balance x unit price.</t>
  </si>
  <si>
    <t>Price above PO</t>
  </si>
  <si>
    <t>Live USD confirmations priced above the PO line; exposure = price difference x ordered qty.</t>
  </si>
  <si>
    <t>Trend</t>
  </si>
  <si>
    <t>On-time % for lines required Sep-Dec 2025 vs Jan-May 2026; Fisher exact test p-value (p&lt;0.05 = real change).</t>
  </si>
</sst>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#,##0"/>
    <numFmt numFmtId="167" formatCode="0.0"/>
    <numFmt numFmtId="168" formatCode="0.00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3" borderId="0" xfId="0" applyFill="1"/>
  </cellXfs>
  <cellStyles count="1">
    <cellStyle name="Normal" xfId="0" builtinId="0"/>
  </cellStyles>
  <dxfs count="1"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Received value by month (USD, at PO price)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'Monthly Value'!$B$1</c:f>
              <c:strCache>
                <c:ptCount val="1"/>
                <c:pt idx="0">
                  <c:v>Apex Bar &amp; Tube Co.</c:v>
                </c:pt>
              </c:strCache>
            </c:strRef>
          </c:tx>
          <c:cat>
            <c:strRef>
              <c:f>'Monthly Value'!$A$2:$A$10</c:f>
              <c:strCache>
                <c:ptCount val="9"/>
                <c:pt idx="0">
                  <c:v>2025-09 (partial)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 (partial)</c:v>
                </c:pt>
              </c:strCache>
            </c:strRef>
          </c:cat>
          <c:val>
            <c:numRef>
              <c:f>'Monthly Value'!$B$2:$B$10</c:f>
              <c:numCache>
                <c:formatCode>General</c:formatCode>
                <c:ptCount val="9"/>
                <c:pt idx="0">
                  <c:v>0</c:v>
                </c:pt>
                <c:pt idx="1">
                  <c:v>3080026.78</c:v>
                </c:pt>
                <c:pt idx="2">
                  <c:v>4338652.6</c:v>
                </c:pt>
                <c:pt idx="3">
                  <c:v>2942700.91</c:v>
                </c:pt>
                <c:pt idx="4">
                  <c:v>4489089.88</c:v>
                </c:pt>
                <c:pt idx="5">
                  <c:v>2585747.33</c:v>
                </c:pt>
                <c:pt idx="6">
                  <c:v>3153715.17</c:v>
                </c:pt>
                <c:pt idx="7">
                  <c:v>2715925.57</c:v>
                </c:pt>
                <c:pt idx="8">
                  <c:v>672403.4399999999</c:v>
                </c:pt>
              </c:numCache>
            </c:numRef>
          </c:val>
        </c:ser>
        <c:ser>
          <c:idx val="1"/>
          <c:order val="1"/>
          <c:tx>
            <c:strRef>
              <c:f>'Monthly Value'!$C$1</c:f>
              <c:strCache>
                <c:ptCount val="1"/>
                <c:pt idx="0">
                  <c:v>Heritage Cold Heading</c:v>
                </c:pt>
              </c:strCache>
            </c:strRef>
          </c:tx>
          <c:cat>
            <c:strRef>
              <c:f>'Monthly Value'!$A$2:$A$10</c:f>
              <c:strCache>
                <c:ptCount val="9"/>
                <c:pt idx="0">
                  <c:v>2025-09 (partial)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 (partial)</c:v>
                </c:pt>
              </c:strCache>
            </c:strRef>
          </c:cat>
          <c:val>
            <c:numRef>
              <c:f>'Monthly Value'!$C$2:$C$10</c:f>
              <c:numCache>
                <c:formatCode>General</c:formatCode>
                <c:ptCount val="9"/>
                <c:pt idx="0">
                  <c:v>48824.6</c:v>
                </c:pt>
                <c:pt idx="1">
                  <c:v>200286.43</c:v>
                </c:pt>
                <c:pt idx="2">
                  <c:v>197692.53</c:v>
                </c:pt>
                <c:pt idx="3">
                  <c:v>293025.48</c:v>
                </c:pt>
                <c:pt idx="4">
                  <c:v>239418.23</c:v>
                </c:pt>
                <c:pt idx="5">
                  <c:v>191786.66</c:v>
                </c:pt>
                <c:pt idx="6">
                  <c:v>227615.34</c:v>
                </c:pt>
                <c:pt idx="7">
                  <c:v>197375.2</c:v>
                </c:pt>
                <c:pt idx="8">
                  <c:v>115775.4</c:v>
                </c:pt>
              </c:numCache>
            </c:numRef>
          </c:val>
        </c:ser>
        <c:ser>
          <c:idx val="2"/>
          <c:order val="2"/>
          <c:tx>
            <c:strRef>
              <c:f>'Monthly Value'!$D$1</c:f>
              <c:strCache>
                <c:ptCount val="1"/>
                <c:pt idx="0">
                  <c:v>Liberty Surface Finishing</c:v>
                </c:pt>
              </c:strCache>
            </c:strRef>
          </c:tx>
          <c:cat>
            <c:strRef>
              <c:f>'Monthly Value'!$A$2:$A$10</c:f>
              <c:strCache>
                <c:ptCount val="9"/>
                <c:pt idx="0">
                  <c:v>2025-09 (partial)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 (partial)</c:v>
                </c:pt>
              </c:strCache>
            </c:strRef>
          </c:cat>
          <c:val>
            <c:numRef>
              <c:f>'Monthly Value'!$D$2:$D$10</c:f>
              <c:numCache>
                <c:formatCode>General</c:formatCode>
                <c:ptCount val="9"/>
                <c:pt idx="0">
                  <c:v>9384.139999999999</c:v>
                </c:pt>
                <c:pt idx="1">
                  <c:v>18032.18</c:v>
                </c:pt>
                <c:pt idx="2">
                  <c:v>15332.32</c:v>
                </c:pt>
                <c:pt idx="3">
                  <c:v>10055.86</c:v>
                </c:pt>
                <c:pt idx="4">
                  <c:v>12616.26</c:v>
                </c:pt>
                <c:pt idx="5">
                  <c:v>12678.84</c:v>
                </c:pt>
                <c:pt idx="6">
                  <c:v>12603.82</c:v>
                </c:pt>
                <c:pt idx="7">
                  <c:v>12889.4</c:v>
                </c:pt>
                <c:pt idx="8">
                  <c:v>4359.18</c:v>
                </c:pt>
              </c:numCache>
            </c:numRef>
          </c:val>
        </c:ser>
        <c:ser>
          <c:idx val="3"/>
          <c:order val="3"/>
          <c:tx>
            <c:strRef>
              <c:f>'Monthly Value'!$E$1</c:f>
              <c:strCache>
                <c:ptCount val="1"/>
                <c:pt idx="0">
                  <c:v>Continental Quality Heat Treat</c:v>
                </c:pt>
              </c:strCache>
            </c:strRef>
          </c:tx>
          <c:cat>
            <c:strRef>
              <c:f>'Monthly Value'!$A$2:$A$10</c:f>
              <c:strCache>
                <c:ptCount val="9"/>
                <c:pt idx="0">
                  <c:v>2025-09 (partial)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 (partial)</c:v>
                </c:pt>
              </c:strCache>
            </c:strRef>
          </c:cat>
          <c:val>
            <c:numRef>
              <c:f>'Monthly Value'!$E$2:$E$10</c:f>
              <c:numCache>
                <c:formatCode>General</c:formatCode>
                <c:ptCount val="9"/>
                <c:pt idx="0">
                  <c:v>55145.2</c:v>
                </c:pt>
                <c:pt idx="1">
                  <c:v>232828.5</c:v>
                </c:pt>
                <c:pt idx="2">
                  <c:v>116349.1</c:v>
                </c:pt>
                <c:pt idx="3">
                  <c:v>211131.5</c:v>
                </c:pt>
                <c:pt idx="4">
                  <c:v>171053.5</c:v>
                </c:pt>
                <c:pt idx="5">
                  <c:v>210122.2</c:v>
                </c:pt>
                <c:pt idx="6">
                  <c:v>227402.4</c:v>
                </c:pt>
                <c:pt idx="7">
                  <c:v>159869.6</c:v>
                </c:pt>
                <c:pt idx="8">
                  <c:v>124665.4</c:v>
                </c:pt>
              </c:numCache>
            </c:numRef>
          </c:val>
        </c:ser>
        <c:ser>
          <c:idx val="4"/>
          <c:order val="4"/>
          <c:tx>
            <c:strRef>
              <c:f>'Monthly Value'!$F$1</c:f>
              <c:strCache>
                <c:ptCount val="1"/>
                <c:pt idx="0">
                  <c:v>Ostmark Werkzeug GmbH</c:v>
                </c:pt>
              </c:strCache>
            </c:strRef>
          </c:tx>
          <c:cat>
            <c:strRef>
              <c:f>'Monthly Value'!$A$2:$A$10</c:f>
              <c:strCache>
                <c:ptCount val="9"/>
                <c:pt idx="0">
                  <c:v>2025-09 (partial)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 (partial)</c:v>
                </c:pt>
              </c:strCache>
            </c:strRef>
          </c:cat>
          <c:val>
            <c:numRef>
              <c:f>'Monthly Value'!$F$2:$F$10</c:f>
              <c:numCache>
                <c:formatCode>General</c:formatCode>
                <c:ptCount val="9"/>
                <c:pt idx="0">
                  <c:v>0</c:v>
                </c:pt>
                <c:pt idx="1">
                  <c:v>54.59999999999999</c:v>
                </c:pt>
                <c:pt idx="2">
                  <c:v>116322.6</c:v>
                </c:pt>
                <c:pt idx="3">
                  <c:v>209507</c:v>
                </c:pt>
                <c:pt idx="4">
                  <c:v>177711.4</c:v>
                </c:pt>
                <c:pt idx="5">
                  <c:v>124227.4</c:v>
                </c:pt>
                <c:pt idx="6">
                  <c:v>100334.6</c:v>
                </c:pt>
                <c:pt idx="7">
                  <c:v>135641.8</c:v>
                </c:pt>
                <c:pt idx="8">
                  <c:v>3517.4</c:v>
                </c:pt>
              </c:numCache>
            </c:numRef>
          </c:val>
        </c:ser>
        <c:ser>
          <c:idx val="5"/>
          <c:order val="5"/>
          <c:tx>
            <c:strRef>
              <c:f>'Monthly Value'!$G$1</c:f>
              <c:strCache>
                <c:ptCount val="1"/>
                <c:pt idx="0">
                  <c:v>QuickShip Industrial</c:v>
                </c:pt>
              </c:strCache>
            </c:strRef>
          </c:tx>
          <c:cat>
            <c:strRef>
              <c:f>'Monthly Value'!$A$2:$A$10</c:f>
              <c:strCache>
                <c:ptCount val="9"/>
                <c:pt idx="0">
                  <c:v>2025-09 (partial)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 (partial)</c:v>
                </c:pt>
              </c:strCache>
            </c:strRef>
          </c:cat>
          <c:val>
            <c:numRef>
              <c:f>'Monthly Value'!$G$2:$G$10</c:f>
              <c:numCache>
                <c:formatCode>General</c:formatCode>
                <c:ptCount val="9"/>
                <c:pt idx="0">
                  <c:v>1099.2</c:v>
                </c:pt>
                <c:pt idx="1">
                  <c:v>1999.44</c:v>
                </c:pt>
                <c:pt idx="2">
                  <c:v>1437.93</c:v>
                </c:pt>
                <c:pt idx="3">
                  <c:v>1996.77</c:v>
                </c:pt>
                <c:pt idx="4">
                  <c:v>1663.2</c:v>
                </c:pt>
                <c:pt idx="5">
                  <c:v>1643.88</c:v>
                </c:pt>
                <c:pt idx="6">
                  <c:v>1113.6</c:v>
                </c:pt>
                <c:pt idx="7">
                  <c:v>1755.3</c:v>
                </c:pt>
                <c:pt idx="8">
                  <c:v>538.8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$#,##0,,&quot;M&quot;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On-time % by month due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'On-time Trend'!$B$1</c:f>
              <c:strCache>
                <c:ptCount val="1"/>
                <c:pt idx="0">
                  <c:v>Apex Bar &amp; Tube Co. on time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'On-time Trend'!$A$2:$A$10</c:f>
              <c:strCache>
                <c:ptCount val="9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</c:strCache>
            </c:strRef>
          </c:cat>
          <c:val>
            <c:numRef>
              <c:f>'On-time Trend'!$B$2:$B$10</c:f>
              <c:numCache>
                <c:formatCode>General</c:formatCode>
                <c:ptCount val="9"/>
                <c:pt idx="1">
                  <c:v>0.8095238095238095</c:v>
                </c:pt>
                <c:pt idx="2">
                  <c:v>0.8378378378378378</c:v>
                </c:pt>
                <c:pt idx="3">
                  <c:v>0.9375</c:v>
                </c:pt>
                <c:pt idx="4">
                  <c:v>0.8</c:v>
                </c:pt>
                <c:pt idx="5">
                  <c:v>0.8888888888888888</c:v>
                </c:pt>
                <c:pt idx="6">
                  <c:v>0.8529411764705882</c:v>
                </c:pt>
                <c:pt idx="7">
                  <c:v>0.896551724137931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'On-time Trend'!$D$1</c:f>
              <c:strCache>
                <c:ptCount val="1"/>
                <c:pt idx="0">
                  <c:v>Heritage Cold Heading on time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'On-time Trend'!$A$2:$A$10</c:f>
              <c:strCache>
                <c:ptCount val="9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</c:strCache>
            </c:strRef>
          </c:cat>
          <c:val>
            <c:numRef>
              <c:f>'On-time Trend'!$D$2:$D$10</c:f>
              <c:numCache>
                <c:formatCode>General</c:formatCode>
                <c:ptCount val="9"/>
                <c:pt idx="1">
                  <c:v>0.7272727272727273</c:v>
                </c:pt>
                <c:pt idx="2">
                  <c:v>0.6086956521739131</c:v>
                </c:pt>
                <c:pt idx="3">
                  <c:v>0.7352941176470589</c:v>
                </c:pt>
                <c:pt idx="4">
                  <c:v>0.7916666666666666</c:v>
                </c:pt>
                <c:pt idx="5">
                  <c:v>0.8</c:v>
                </c:pt>
                <c:pt idx="6">
                  <c:v>0.6666666666666666</c:v>
                </c:pt>
                <c:pt idx="7">
                  <c:v>0.6956521739130435</c:v>
                </c:pt>
                <c:pt idx="8">
                  <c:v>0.75</c:v>
                </c:pt>
              </c:numCache>
            </c:numRef>
          </c:val>
        </c:ser>
        <c:ser>
          <c:idx val="2"/>
          <c:order val="2"/>
          <c:tx>
            <c:strRef>
              <c:f>'On-time Trend'!$F$1</c:f>
              <c:strCache>
                <c:ptCount val="1"/>
                <c:pt idx="0">
                  <c:v>Liberty Surface Finishing on time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'On-time Trend'!$A$2:$A$10</c:f>
              <c:strCache>
                <c:ptCount val="9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</c:strCache>
            </c:strRef>
          </c:cat>
          <c:val>
            <c:numRef>
              <c:f>'On-time Trend'!$F$2:$F$10</c:f>
              <c:numCache>
                <c:formatCode>General</c:formatCode>
                <c:ptCount val="9"/>
                <c:pt idx="0">
                  <c:v>0.9230769230769231</c:v>
                </c:pt>
                <c:pt idx="1">
                  <c:v>0.9375</c:v>
                </c:pt>
                <c:pt idx="2">
                  <c:v>0.9523809523809523</c:v>
                </c:pt>
                <c:pt idx="3">
                  <c:v>0.9642857142857143</c:v>
                </c:pt>
                <c:pt idx="4">
                  <c:v>0.8421052631578947</c:v>
                </c:pt>
                <c:pt idx="5">
                  <c:v>0.9</c:v>
                </c:pt>
                <c:pt idx="6">
                  <c:v>0.9090909090909091</c:v>
                </c:pt>
                <c:pt idx="7">
                  <c:v>0.88</c:v>
                </c:pt>
                <c:pt idx="8">
                  <c:v>0.7777777777777778</c:v>
                </c:pt>
              </c:numCache>
            </c:numRef>
          </c:val>
        </c:ser>
        <c:ser>
          <c:idx val="3"/>
          <c:order val="3"/>
          <c:tx>
            <c:strRef>
              <c:f>'On-time Trend'!$H$1</c:f>
              <c:strCache>
                <c:ptCount val="1"/>
                <c:pt idx="0">
                  <c:v>Continental Quality Heat Treat on time</c:v>
                </c:pt>
              </c:strCache>
            </c:strRef>
          </c:tx>
          <c:spPr>
            <a:ln w="38100"/>
          </c:spPr>
          <c:marker>
            <c:symbol val="circle"/>
            <c:size val="5"/>
          </c:marker>
          <c:cat>
            <c:strRef>
              <c:f>'On-time Trend'!$A$2:$A$10</c:f>
              <c:strCache>
                <c:ptCount val="9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</c:strCache>
            </c:strRef>
          </c:cat>
          <c:val>
            <c:numRef>
              <c:f>'On-time Trend'!$H$2:$H$10</c:f>
              <c:numCache>
                <c:formatCode>General</c:formatCode>
                <c:ptCount val="9"/>
                <c:pt idx="0">
                  <c:v>0.375</c:v>
                </c:pt>
                <c:pt idx="1">
                  <c:v>0.6470588235294118</c:v>
                </c:pt>
                <c:pt idx="2">
                  <c:v>0.4615384615384616</c:v>
                </c:pt>
                <c:pt idx="3">
                  <c:v>0.2777777777777778</c:v>
                </c:pt>
                <c:pt idx="4">
                  <c:v>0.5294117647058824</c:v>
                </c:pt>
                <c:pt idx="5">
                  <c:v>0.1875</c:v>
                </c:pt>
                <c:pt idx="6">
                  <c:v>0.4761904761904762</c:v>
                </c:pt>
                <c:pt idx="7">
                  <c:v>0.4666666666666667</c:v>
                </c:pt>
                <c:pt idx="8">
                  <c:v>0.2222222222222222</c:v>
                </c:pt>
              </c:numCache>
            </c:numRef>
          </c:val>
        </c:ser>
        <c:ser>
          <c:idx val="4"/>
          <c:order val="4"/>
          <c:tx>
            <c:strRef>
              <c:f>'On-time Trend'!$J$1</c:f>
              <c:strCache>
                <c:ptCount val="1"/>
                <c:pt idx="0">
                  <c:v>Ostmark Werkzeug GmbH on time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'On-time Trend'!$A$2:$A$10</c:f>
              <c:strCache>
                <c:ptCount val="9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</c:strCache>
            </c:strRef>
          </c:cat>
          <c:val>
            <c:numRef>
              <c:f>'On-time Trend'!$J$2:$J$10</c:f>
              <c:numCache>
                <c:formatCode>General</c:formatCode>
                <c:ptCount val="9"/>
                <c:pt idx="2">
                  <c:v>0.6666666666666666</c:v>
                </c:pt>
                <c:pt idx="3">
                  <c:v>0.75</c:v>
                </c:pt>
                <c:pt idx="4">
                  <c:v>0.4444444444444444</c:v>
                </c:pt>
                <c:pt idx="5">
                  <c:v>1</c:v>
                </c:pt>
                <c:pt idx="6">
                  <c:v>0.6363636363636364</c:v>
                </c:pt>
                <c:pt idx="7">
                  <c:v>0.75</c:v>
                </c:pt>
                <c:pt idx="8">
                  <c:v>1</c:v>
                </c:pt>
              </c:numCache>
            </c:numRef>
          </c:val>
        </c:ser>
        <c:ser>
          <c:idx val="5"/>
          <c:order val="5"/>
          <c:tx>
            <c:strRef>
              <c:f>'On-time Trend'!$L$1</c:f>
              <c:strCache>
                <c:ptCount val="1"/>
                <c:pt idx="0">
                  <c:v>QuickShip Industrial on time</c:v>
                </c:pt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strRef>
              <c:f>'On-time Trend'!$A$2:$A$10</c:f>
              <c:strCache>
                <c:ptCount val="9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</c:strCache>
            </c:strRef>
          </c:cat>
          <c:val>
            <c:numRef>
              <c:f>'On-time Trend'!$L$2:$L$10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0.9411764705882353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1038225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9</xdr:col>
      <xdr:colOff>809625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10" spans="1:1">
      <c r="A10" s="2" t="s">
        <v>7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6" spans="1:1">
      <c r="A16" s="2" t="s">
        <v>12</v>
      </c>
    </row>
    <row r="17" spans="1:1">
      <c r="A17" s="3" t="s">
        <v>13</v>
      </c>
    </row>
    <row r="19" spans="1:1">
      <c r="A19" s="2" t="s">
        <v>14</v>
      </c>
    </row>
    <row r="20" spans="1:1">
      <c r="A20" s="3" t="s">
        <v>15</v>
      </c>
    </row>
    <row r="21" spans="1:1">
      <c r="A21" s="3" t="s">
        <v>16</v>
      </c>
    </row>
    <row r="22" spans="1:1">
      <c r="A22" s="3" t="s">
        <v>17</v>
      </c>
    </row>
    <row r="23" spans="1:1">
      <c r="A23" s="3" t="s">
        <v>18</v>
      </c>
    </row>
    <row r="25" spans="1:1">
      <c r="A25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1" width="12.7109375" customWidth="1"/>
    <col min="2" max="11" width="16.7109375" customWidth="1"/>
  </cols>
  <sheetData>
    <row r="1" spans="1:10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</row>
    <row r="2" spans="1:10">
      <c r="A2" t="s">
        <v>30</v>
      </c>
      <c r="B2" s="5">
        <v>0</v>
      </c>
      <c r="C2" s="5">
        <v>48824.6</v>
      </c>
      <c r="D2" s="5">
        <v>9384.139999999999</v>
      </c>
      <c r="E2" s="5">
        <v>55145.2</v>
      </c>
      <c r="F2" s="5">
        <v>0</v>
      </c>
      <c r="G2" s="5">
        <v>1099.2</v>
      </c>
      <c r="H2" s="5">
        <v>114453.14</v>
      </c>
      <c r="I2">
        <v>56</v>
      </c>
      <c r="J2">
        <v>4</v>
      </c>
    </row>
    <row r="3" spans="1:10">
      <c r="A3" t="s">
        <v>31</v>
      </c>
      <c r="B3" s="5">
        <v>3080026.78</v>
      </c>
      <c r="C3" s="5">
        <v>200286.43</v>
      </c>
      <c r="D3" s="5">
        <v>18032.18</v>
      </c>
      <c r="E3" s="5">
        <v>232828.5</v>
      </c>
      <c r="F3" s="5">
        <v>54.59999999999999</v>
      </c>
      <c r="G3" s="5">
        <v>1999.44</v>
      </c>
      <c r="H3" s="5">
        <v>3533227.930000001</v>
      </c>
      <c r="I3">
        <v>179</v>
      </c>
      <c r="J3">
        <v>6</v>
      </c>
    </row>
    <row r="4" spans="1:10">
      <c r="A4" t="s">
        <v>32</v>
      </c>
      <c r="B4" s="5">
        <v>4338652.6</v>
      </c>
      <c r="C4" s="5">
        <v>197692.53</v>
      </c>
      <c r="D4" s="5">
        <v>15332.32</v>
      </c>
      <c r="E4" s="5">
        <v>116349.1</v>
      </c>
      <c r="F4" s="5">
        <v>116322.6</v>
      </c>
      <c r="G4" s="5">
        <v>1437.93</v>
      </c>
      <c r="H4" s="5">
        <v>4785787.079999999</v>
      </c>
      <c r="I4">
        <v>193</v>
      </c>
      <c r="J4">
        <v>6</v>
      </c>
    </row>
    <row r="5" spans="1:10">
      <c r="A5" t="s">
        <v>33</v>
      </c>
      <c r="B5" s="5">
        <v>2942700.91</v>
      </c>
      <c r="C5" s="5">
        <v>293025.48</v>
      </c>
      <c r="D5" s="5">
        <v>10055.86</v>
      </c>
      <c r="E5" s="5">
        <v>211131.5</v>
      </c>
      <c r="F5" s="5">
        <v>209507</v>
      </c>
      <c r="G5" s="5">
        <v>1996.77</v>
      </c>
      <c r="H5" s="5">
        <v>3668417.52</v>
      </c>
      <c r="I5">
        <v>202</v>
      </c>
      <c r="J5">
        <v>6</v>
      </c>
    </row>
    <row r="6" spans="1:10">
      <c r="A6" t="s">
        <v>34</v>
      </c>
      <c r="B6" s="5">
        <v>4489089.88</v>
      </c>
      <c r="C6" s="5">
        <v>239418.23</v>
      </c>
      <c r="D6" s="5">
        <v>12616.26</v>
      </c>
      <c r="E6" s="5">
        <v>171053.5</v>
      </c>
      <c r="F6" s="5">
        <v>177711.4</v>
      </c>
      <c r="G6" s="5">
        <v>1663.2</v>
      </c>
      <c r="H6" s="5">
        <v>5091552.470000001</v>
      </c>
      <c r="I6">
        <v>172</v>
      </c>
      <c r="J6">
        <v>6</v>
      </c>
    </row>
    <row r="7" spans="1:10">
      <c r="A7" t="s">
        <v>35</v>
      </c>
      <c r="B7" s="5">
        <v>2585747.33</v>
      </c>
      <c r="C7" s="5">
        <v>191786.66</v>
      </c>
      <c r="D7" s="5">
        <v>12678.84</v>
      </c>
      <c r="E7" s="5">
        <v>210122.2</v>
      </c>
      <c r="F7" s="5">
        <v>124227.4</v>
      </c>
      <c r="G7" s="5">
        <v>1643.88</v>
      </c>
      <c r="H7" s="5">
        <v>3126206.31</v>
      </c>
      <c r="I7">
        <v>175</v>
      </c>
      <c r="J7">
        <v>6</v>
      </c>
    </row>
    <row r="8" spans="1:10">
      <c r="A8" t="s">
        <v>36</v>
      </c>
      <c r="B8" s="5">
        <v>3153715.17</v>
      </c>
      <c r="C8" s="5">
        <v>227615.34</v>
      </c>
      <c r="D8" s="5">
        <v>12603.82</v>
      </c>
      <c r="E8" s="5">
        <v>227402.4</v>
      </c>
      <c r="F8" s="5">
        <v>100334.6</v>
      </c>
      <c r="G8" s="5">
        <v>1113.6</v>
      </c>
      <c r="H8" s="5">
        <v>3722784.93</v>
      </c>
      <c r="I8">
        <v>202</v>
      </c>
      <c r="J8">
        <v>6</v>
      </c>
    </row>
    <row r="9" spans="1:10">
      <c r="A9" t="s">
        <v>37</v>
      </c>
      <c r="B9" s="5">
        <v>2715925.57</v>
      </c>
      <c r="C9" s="5">
        <v>197375.2</v>
      </c>
      <c r="D9" s="5">
        <v>12889.4</v>
      </c>
      <c r="E9" s="5">
        <v>159869.6</v>
      </c>
      <c r="F9" s="5">
        <v>135641.8</v>
      </c>
      <c r="G9" s="5">
        <v>1755.3</v>
      </c>
      <c r="H9" s="5">
        <v>3223456.87</v>
      </c>
      <c r="I9">
        <v>185</v>
      </c>
      <c r="J9">
        <v>6</v>
      </c>
    </row>
    <row r="10" spans="1:10">
      <c r="A10" t="s">
        <v>38</v>
      </c>
      <c r="B10" s="5">
        <v>672403.4399999999</v>
      </c>
      <c r="C10" s="5">
        <v>115775.4</v>
      </c>
      <c r="D10" s="5">
        <v>4359.18</v>
      </c>
      <c r="E10" s="5">
        <v>124665.4</v>
      </c>
      <c r="F10" s="5">
        <v>3517.4</v>
      </c>
      <c r="G10" s="5">
        <v>538.8</v>
      </c>
      <c r="H10" s="5">
        <v>921259.6200000001</v>
      </c>
      <c r="I10">
        <v>81</v>
      </c>
      <c r="J10">
        <v>6</v>
      </c>
    </row>
    <row r="11" spans="1:10">
      <c r="A11" s="4" t="s">
        <v>27</v>
      </c>
      <c r="B11" s="5">
        <f>SUM(B2:B10)</f>
        <v>0</v>
      </c>
      <c r="C11" s="5">
        <f>SUM(C2:C10)</f>
        <v>0</v>
      </c>
      <c r="D11" s="5">
        <f>SUM(D2:D10)</f>
        <v>0</v>
      </c>
      <c r="E11" s="5">
        <f>SUM(E2:E10)</f>
        <v>0</v>
      </c>
      <c r="F11" s="5">
        <f>SUM(F2:F10)</f>
        <v>0</v>
      </c>
      <c r="G11" s="5">
        <f>SUM(G2:G10)</f>
        <v>0</v>
      </c>
      <c r="H11" s="5">
        <f>SUM(H2:H10)</f>
        <v>0</v>
      </c>
    </row>
    <row r="13" spans="1:10">
      <c r="A13" s="3" t="s">
        <v>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7" width="18.7109375" customWidth="1"/>
  </cols>
  <sheetData>
    <row r="1" spans="1:7" ht="32" customHeight="1">
      <c r="A1" s="4" t="s">
        <v>40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>
      <c r="A2" t="s">
        <v>41</v>
      </c>
      <c r="B2" s="5">
        <v>23978261.68</v>
      </c>
      <c r="C2" s="5">
        <v>1711799.87</v>
      </c>
      <c r="D2" s="5">
        <v>107952</v>
      </c>
      <c r="E2" s="5">
        <v>1508567.4</v>
      </c>
      <c r="F2" s="5">
        <v>867316.7999999999</v>
      </c>
      <c r="G2" s="5">
        <v>13248.12</v>
      </c>
    </row>
    <row r="3" spans="1:7">
      <c r="A3" t="s">
        <v>42</v>
      </c>
      <c r="B3" s="6">
        <v>0.8506807248448812</v>
      </c>
      <c r="C3" s="6">
        <v>0.06072980492224628</v>
      </c>
      <c r="D3" s="6">
        <v>0.00382983082068252</v>
      </c>
      <c r="E3" s="6">
        <v>0.05351969323029582</v>
      </c>
      <c r="F3" s="6">
        <v>0.03076994045442175</v>
      </c>
      <c r="G3" s="6">
        <v>0.0004700057274723998</v>
      </c>
    </row>
    <row r="4" spans="1:7">
      <c r="A4" t="s">
        <v>43</v>
      </c>
      <c r="B4" s="7">
        <v>172</v>
      </c>
      <c r="C4" s="7">
        <v>151</v>
      </c>
      <c r="D4" s="7">
        <v>128</v>
      </c>
      <c r="E4" s="7">
        <v>97</v>
      </c>
      <c r="F4" s="7">
        <v>48</v>
      </c>
      <c r="G4" s="7">
        <v>76</v>
      </c>
    </row>
    <row r="5" spans="1:7">
      <c r="A5" t="s">
        <v>44</v>
      </c>
      <c r="B5" s="7">
        <v>222</v>
      </c>
      <c r="C5" s="7">
        <v>205</v>
      </c>
      <c r="D5" s="7">
        <v>189</v>
      </c>
      <c r="E5" s="7">
        <v>134</v>
      </c>
      <c r="F5" s="7">
        <v>55</v>
      </c>
      <c r="G5" s="7">
        <v>110</v>
      </c>
    </row>
    <row r="6" spans="1:7">
      <c r="A6" t="s">
        <v>45</v>
      </c>
      <c r="B6" s="6">
        <v>0.8693693693693694</v>
      </c>
      <c r="C6" s="6">
        <v>0.7219512195121951</v>
      </c>
      <c r="D6" s="6">
        <v>0.91005291005291</v>
      </c>
      <c r="E6" s="6">
        <v>0.417910447761194</v>
      </c>
      <c r="F6" s="6">
        <v>0.6909090909090909</v>
      </c>
      <c r="G6" s="6">
        <v>0.990909090909091</v>
      </c>
    </row>
    <row r="7" spans="1:7">
      <c r="A7" t="s">
        <v>46</v>
      </c>
      <c r="B7" s="7">
        <v>29</v>
      </c>
      <c r="C7" s="7">
        <v>57</v>
      </c>
      <c r="D7" s="7">
        <v>17</v>
      </c>
      <c r="E7" s="7">
        <v>78</v>
      </c>
      <c r="F7" s="7">
        <v>17</v>
      </c>
      <c r="G7" s="7">
        <v>1</v>
      </c>
    </row>
    <row r="8" spans="1:7">
      <c r="A8" t="s">
        <v>47</v>
      </c>
      <c r="B8" s="7">
        <v>0</v>
      </c>
      <c r="C8" s="7">
        <v>2</v>
      </c>
      <c r="D8" s="7">
        <v>0</v>
      </c>
      <c r="E8" s="7">
        <v>61</v>
      </c>
      <c r="F8" s="7">
        <v>0</v>
      </c>
      <c r="G8" s="7">
        <v>0</v>
      </c>
    </row>
    <row r="9" spans="1:7">
      <c r="A9" t="s">
        <v>48</v>
      </c>
      <c r="B9" s="6">
        <v>0</v>
      </c>
      <c r="C9" s="6">
        <v>0.00975609756097561</v>
      </c>
      <c r="D9" s="6">
        <v>0</v>
      </c>
      <c r="E9" s="6">
        <v>0.4552238805970149</v>
      </c>
      <c r="F9" s="6">
        <v>0</v>
      </c>
      <c r="G9" s="6">
        <v>0</v>
      </c>
    </row>
    <row r="10" spans="1:7">
      <c r="A10" t="s">
        <v>49</v>
      </c>
      <c r="B10" s="5">
        <v>0</v>
      </c>
      <c r="C10" s="5">
        <v>5434</v>
      </c>
      <c r="D10" s="5">
        <v>0</v>
      </c>
      <c r="E10" s="5">
        <v>660181</v>
      </c>
      <c r="F10" s="5">
        <v>0</v>
      </c>
      <c r="G10" s="5">
        <v>0</v>
      </c>
    </row>
    <row r="11" spans="1:7">
      <c r="A11" t="s">
        <v>50</v>
      </c>
      <c r="B11" s="5">
        <v>2514198.5</v>
      </c>
      <c r="C11" s="5">
        <v>467986.94</v>
      </c>
      <c r="D11" s="5">
        <v>9784.5</v>
      </c>
      <c r="E11" s="5">
        <v>855355.6</v>
      </c>
      <c r="F11" s="5">
        <v>243767.2</v>
      </c>
      <c r="G11" s="5">
        <v>14.4</v>
      </c>
    </row>
    <row r="12" spans="1:7">
      <c r="A12" t="s">
        <v>51</v>
      </c>
      <c r="B12" s="8">
        <v>1.827586206896552</v>
      </c>
      <c r="C12" s="8">
        <v>3.368421052631579</v>
      </c>
      <c r="D12" s="8">
        <v>1.470588235294118</v>
      </c>
      <c r="E12" s="8">
        <v>15.47435897435897</v>
      </c>
      <c r="F12" s="8">
        <v>2.470588235294118</v>
      </c>
      <c r="G12" s="8">
        <v>1</v>
      </c>
    </row>
    <row r="13" spans="1:7">
      <c r="A13" t="s">
        <v>52</v>
      </c>
      <c r="B13" s="8">
        <v>1</v>
      </c>
      <c r="C13" s="8">
        <v>3</v>
      </c>
      <c r="D13" s="8">
        <v>1</v>
      </c>
      <c r="E13" s="8">
        <v>17</v>
      </c>
      <c r="F13" s="8">
        <v>2</v>
      </c>
      <c r="G13" s="8">
        <v>1</v>
      </c>
    </row>
    <row r="14" spans="1:7">
      <c r="A14" t="s">
        <v>53</v>
      </c>
      <c r="B14" s="7">
        <v>6</v>
      </c>
      <c r="C14" s="7">
        <v>12</v>
      </c>
      <c r="D14" s="7">
        <v>3</v>
      </c>
      <c r="E14" s="7">
        <v>28</v>
      </c>
      <c r="F14" s="7">
        <v>6</v>
      </c>
      <c r="G14" s="7">
        <v>1</v>
      </c>
    </row>
    <row r="15" spans="1:7">
      <c r="A15" t="s">
        <v>54</v>
      </c>
      <c r="B15" s="6">
        <v>1</v>
      </c>
      <c r="C15" s="6">
        <v>0.9902439024390244</v>
      </c>
      <c r="D15" s="6">
        <v>1</v>
      </c>
      <c r="E15" s="6">
        <v>0.5447761194029851</v>
      </c>
      <c r="F15" s="6">
        <v>1</v>
      </c>
      <c r="G15" s="6">
        <v>1</v>
      </c>
    </row>
    <row r="16" spans="1:7">
      <c r="A16" t="s">
        <v>55</v>
      </c>
      <c r="B16" s="6">
        <v>0.8378378378378378</v>
      </c>
      <c r="C16" s="6">
        <v>0.6926829268292682</v>
      </c>
      <c r="D16" s="6">
        <v>0.873015873015873</v>
      </c>
      <c r="E16" s="6">
        <v>0.4029850746268657</v>
      </c>
      <c r="F16" s="6">
        <v>0.6909090909090909</v>
      </c>
      <c r="G16" s="6">
        <v>0.9636363636363636</v>
      </c>
    </row>
    <row r="17" spans="1:7">
      <c r="A17" t="s">
        <v>56</v>
      </c>
      <c r="B17" s="6">
        <v>0.963963963963964</v>
      </c>
      <c r="C17" s="6">
        <v>0.8731707317073171</v>
      </c>
      <c r="D17" s="6">
        <v>0.9735449735449735</v>
      </c>
      <c r="E17" s="6">
        <v>0.6492537313432836</v>
      </c>
      <c r="F17" s="6">
        <v>0.8909090909090909</v>
      </c>
      <c r="G17" s="6">
        <v>0.990909090909091</v>
      </c>
    </row>
    <row r="18" spans="1:7">
      <c r="A18" t="s">
        <v>57</v>
      </c>
      <c r="B18" s="7">
        <v>209</v>
      </c>
      <c r="C18" s="7">
        <v>176</v>
      </c>
      <c r="D18" s="7">
        <v>157</v>
      </c>
      <c r="E18" s="7">
        <v>113</v>
      </c>
      <c r="F18" s="7">
        <v>51</v>
      </c>
      <c r="G18" s="7">
        <v>88</v>
      </c>
    </row>
    <row r="19" spans="1:7">
      <c r="A19" t="s">
        <v>58</v>
      </c>
      <c r="B19" s="6">
        <v>0.1866028708133971</v>
      </c>
      <c r="C19" s="6">
        <v>0.5965909090909091</v>
      </c>
      <c r="D19" s="6">
        <v>0.1974522292993631</v>
      </c>
      <c r="E19" s="6">
        <v>0.911504424778761</v>
      </c>
      <c r="F19" s="6">
        <v>0.196078431372549</v>
      </c>
      <c r="G19" s="6">
        <v>0.1590909090909091</v>
      </c>
    </row>
    <row r="20" spans="1:7">
      <c r="A20" t="s">
        <v>59</v>
      </c>
      <c r="B20" s="8">
        <v>0.2344497607655502</v>
      </c>
      <c r="C20" s="8">
        <v>2.636363636363636</v>
      </c>
      <c r="D20" s="8">
        <v>0.2356687898089172</v>
      </c>
      <c r="E20" s="8">
        <v>8.513274336283185</v>
      </c>
      <c r="F20" s="8">
        <v>0.196078431372549</v>
      </c>
      <c r="G20" s="8">
        <v>0.1818181818181818</v>
      </c>
    </row>
    <row r="21" spans="1:7">
      <c r="A21" t="s">
        <v>60</v>
      </c>
      <c r="B21" s="6">
        <v>0.8899521531100478</v>
      </c>
      <c r="C21" s="6">
        <v>0.8181818181818182</v>
      </c>
      <c r="D21" s="6">
        <v>0.9426751592356688</v>
      </c>
      <c r="E21" s="6">
        <v>0.584070796460177</v>
      </c>
      <c r="F21" s="6">
        <v>0.7058823529411765</v>
      </c>
      <c r="G21" s="6">
        <v>0.9886363636363636</v>
      </c>
    </row>
    <row r="22" spans="1:7">
      <c r="A22" t="s">
        <v>61</v>
      </c>
      <c r="B22" s="8">
        <v>42</v>
      </c>
      <c r="C22" s="8">
        <v>33</v>
      </c>
      <c r="D22" s="8">
        <v>18</v>
      </c>
      <c r="E22" s="8">
        <v>19</v>
      </c>
      <c r="F22" s="8">
        <v>63</v>
      </c>
      <c r="G22" s="8">
        <v>9</v>
      </c>
    </row>
    <row r="23" spans="1:7">
      <c r="A23" t="s">
        <v>62</v>
      </c>
      <c r="B23" s="8">
        <v>42</v>
      </c>
      <c r="C23" s="8">
        <v>36</v>
      </c>
      <c r="D23" s="8">
        <v>18</v>
      </c>
      <c r="E23" s="8">
        <v>28</v>
      </c>
      <c r="F23" s="8">
        <v>63</v>
      </c>
      <c r="G23" s="8">
        <v>9</v>
      </c>
    </row>
    <row r="24" spans="1:7">
      <c r="A24" t="s">
        <v>63</v>
      </c>
      <c r="B24" s="8">
        <v>40</v>
      </c>
      <c r="C24" s="8">
        <v>32</v>
      </c>
      <c r="D24" s="8">
        <v>15</v>
      </c>
      <c r="E24" s="8">
        <v>24.5</v>
      </c>
      <c r="F24" s="8">
        <v>61</v>
      </c>
      <c r="G24" s="8">
        <v>6</v>
      </c>
    </row>
    <row r="25" spans="1:7">
      <c r="A25" t="s">
        <v>64</v>
      </c>
      <c r="B25" s="6">
        <v>0.4864864864864865</v>
      </c>
      <c r="C25" s="6">
        <v>0.4341463414634146</v>
      </c>
      <c r="D25" s="6">
        <v>0.4603174603174603</v>
      </c>
      <c r="E25" s="6">
        <v>0.5149253731343284</v>
      </c>
      <c r="F25" s="6">
        <v>0.509090909090909</v>
      </c>
      <c r="G25" s="6">
        <v>0.4818181818181818</v>
      </c>
    </row>
    <row r="26" spans="1:7">
      <c r="A26" t="s">
        <v>65</v>
      </c>
      <c r="B26" s="6">
        <v>0.95</v>
      </c>
      <c r="C26" s="6">
        <v>0.9214659685863874</v>
      </c>
      <c r="D26" s="6">
        <v>0.9345238095238095</v>
      </c>
      <c r="E26" s="6">
        <v>0.9495798319327731</v>
      </c>
      <c r="F26" s="6">
        <v>0.9310344827586207</v>
      </c>
      <c r="G26" s="6">
        <v>0.9361702127659575</v>
      </c>
    </row>
    <row r="27" spans="1:7">
      <c r="A27" t="s">
        <v>66</v>
      </c>
      <c r="B27" s="7">
        <v>7</v>
      </c>
      <c r="C27" s="7">
        <v>10</v>
      </c>
      <c r="D27" s="7">
        <v>4</v>
      </c>
      <c r="E27" s="7">
        <v>4</v>
      </c>
      <c r="F27" s="7">
        <v>1</v>
      </c>
      <c r="G27" s="7">
        <v>4</v>
      </c>
    </row>
    <row r="28" spans="1:7">
      <c r="A28" t="s">
        <v>67</v>
      </c>
      <c r="B28" s="7">
        <v>4</v>
      </c>
      <c r="C28" s="7">
        <v>3</v>
      </c>
      <c r="D28" s="7">
        <v>1</v>
      </c>
      <c r="E28" s="7">
        <v>0</v>
      </c>
      <c r="F28" s="7">
        <v>0</v>
      </c>
      <c r="G28" s="7">
        <v>1</v>
      </c>
    </row>
    <row r="29" spans="1:7">
      <c r="A29" t="s">
        <v>68</v>
      </c>
      <c r="B29" s="7">
        <v>8</v>
      </c>
      <c r="C29" s="7">
        <v>10</v>
      </c>
      <c r="D29" s="7">
        <v>9</v>
      </c>
      <c r="E29" s="7">
        <v>7</v>
      </c>
      <c r="F29" s="7">
        <v>2</v>
      </c>
      <c r="G29" s="7">
        <v>4</v>
      </c>
    </row>
    <row r="30" spans="1:7">
      <c r="A30" t="s">
        <v>69</v>
      </c>
      <c r="B30" s="5">
        <v>76706.32000000001</v>
      </c>
      <c r="C30" s="5">
        <v>4135.13</v>
      </c>
      <c r="D30" s="5">
        <v>1136</v>
      </c>
      <c r="E30" s="5">
        <v>14037.6</v>
      </c>
      <c r="F30" s="5">
        <v>31910</v>
      </c>
      <c r="G30" s="5">
        <v>39.48</v>
      </c>
    </row>
    <row r="31" spans="1:7">
      <c r="A31" t="s">
        <v>70</v>
      </c>
      <c r="B31" s="7">
        <v>0</v>
      </c>
      <c r="C31" s="7">
        <v>0</v>
      </c>
      <c r="D31" s="7">
        <v>2</v>
      </c>
      <c r="E31" s="7">
        <v>3</v>
      </c>
      <c r="F31" s="7">
        <v>2</v>
      </c>
      <c r="G31" s="7">
        <v>1</v>
      </c>
    </row>
    <row r="32" spans="1:7">
      <c r="A32" t="s">
        <v>71</v>
      </c>
      <c r="B32" s="7">
        <v>8</v>
      </c>
      <c r="C32" s="7">
        <v>10</v>
      </c>
      <c r="D32" s="7">
        <v>7</v>
      </c>
      <c r="E32" s="7">
        <v>4</v>
      </c>
      <c r="F32" s="7">
        <v>0</v>
      </c>
      <c r="G32" s="7">
        <v>3</v>
      </c>
    </row>
    <row r="33" spans="1:7">
      <c r="A33" t="s">
        <v>72</v>
      </c>
      <c r="B33" s="7">
        <v>11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</row>
    <row r="34" spans="1:7">
      <c r="A34" t="s">
        <v>73</v>
      </c>
      <c r="B34" s="5">
        <v>8522.080000000027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>
      <c r="A35" t="s">
        <v>74</v>
      </c>
      <c r="B35" s="7">
        <v>9</v>
      </c>
      <c r="C35" s="7">
        <v>7</v>
      </c>
      <c r="D35" s="7">
        <v>8</v>
      </c>
      <c r="E35" s="7">
        <v>7</v>
      </c>
      <c r="F35" s="7">
        <v>3</v>
      </c>
      <c r="G35" s="7">
        <v>1</v>
      </c>
    </row>
    <row r="36" spans="1:7">
      <c r="A36" t="s">
        <v>75</v>
      </c>
      <c r="B36" s="7">
        <v>2</v>
      </c>
      <c r="C36" s="7">
        <v>0</v>
      </c>
      <c r="D36" s="7">
        <v>0</v>
      </c>
      <c r="E36" s="7">
        <v>1</v>
      </c>
      <c r="F36" s="7">
        <v>0</v>
      </c>
      <c r="G36" s="7">
        <v>1</v>
      </c>
    </row>
    <row r="37" spans="1:7">
      <c r="A37" t="s">
        <v>76</v>
      </c>
      <c r="B37" s="8">
        <v>6.040268456375839</v>
      </c>
      <c r="C37" s="8">
        <v>5.185185185185185</v>
      </c>
      <c r="D37" s="8">
        <v>6.611570247933884</v>
      </c>
      <c r="E37" s="8">
        <v>7.608695652173913</v>
      </c>
      <c r="F37" s="8">
        <v>8.108108108108109</v>
      </c>
      <c r="G37" s="8">
        <v>1.36986301369863</v>
      </c>
    </row>
    <row r="38" spans="1:7">
      <c r="A38" t="s">
        <v>77</v>
      </c>
      <c r="B38" s="6">
        <v>0.8666666666666667</v>
      </c>
      <c r="C38" s="6">
        <v>0.7</v>
      </c>
      <c r="D38" s="6">
        <v>0.9468085106382979</v>
      </c>
      <c r="E38" s="6">
        <v>0.4464285714285715</v>
      </c>
      <c r="F38" s="6">
        <v>0.7142857142857143</v>
      </c>
      <c r="G38" s="6">
        <v>0.9811320754716981</v>
      </c>
    </row>
    <row r="39" spans="1:7">
      <c r="A39" t="s">
        <v>78</v>
      </c>
      <c r="B39" s="7">
        <v>90</v>
      </c>
      <c r="C39" s="7">
        <v>90</v>
      </c>
      <c r="D39" s="7">
        <v>94</v>
      </c>
      <c r="E39" s="7">
        <v>56</v>
      </c>
      <c r="F39" s="7">
        <v>21</v>
      </c>
      <c r="G39" s="7">
        <v>53</v>
      </c>
    </row>
    <row r="40" spans="1:7">
      <c r="A40" t="s">
        <v>79</v>
      </c>
      <c r="B40" s="6">
        <v>0.8712121212121212</v>
      </c>
      <c r="C40" s="6">
        <v>0.7391304347826086</v>
      </c>
      <c r="D40" s="6">
        <v>0.8736842105263158</v>
      </c>
      <c r="E40" s="6">
        <v>0.3974358974358974</v>
      </c>
      <c r="F40" s="6">
        <v>0.6764705882352942</v>
      </c>
      <c r="G40" s="6">
        <v>1</v>
      </c>
    </row>
    <row r="41" spans="1:7">
      <c r="A41" t="s">
        <v>78</v>
      </c>
      <c r="B41" s="7">
        <v>132</v>
      </c>
      <c r="C41" s="7">
        <v>115</v>
      </c>
      <c r="D41" s="7">
        <v>95</v>
      </c>
      <c r="E41" s="7">
        <v>78</v>
      </c>
      <c r="F41" s="7">
        <v>34</v>
      </c>
      <c r="G41" s="7">
        <v>57</v>
      </c>
    </row>
    <row r="42" spans="1:7">
      <c r="A42" t="s">
        <v>80</v>
      </c>
      <c r="B42" s="9">
        <v>1</v>
      </c>
      <c r="C42" s="9">
        <v>0.6377352144610586</v>
      </c>
      <c r="D42" s="9">
        <v>0.1252538193324333</v>
      </c>
      <c r="E42" s="9">
        <v>0.5979858501642935</v>
      </c>
      <c r="F42" s="9">
        <v>1</v>
      </c>
      <c r="G42" s="9">
        <v>0.4818181818181819</v>
      </c>
    </row>
  </sheetData>
  <conditionalFormatting sqref="E1:E43">
    <cfRule type="notContainsBlanks" dxfId="0" priority="1">
      <formula>LEN(TRIM(E1))&gt;0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14.7109375" customWidth="1"/>
    <col min="2" max="13" width="12.7109375" customWidth="1"/>
  </cols>
  <sheetData>
    <row r="1" spans="1:13">
      <c r="A1" s="4" t="s">
        <v>81</v>
      </c>
      <c r="B1" s="4" t="s">
        <v>82</v>
      </c>
      <c r="C1" s="4" t="s">
        <v>83</v>
      </c>
      <c r="D1" s="4" t="s">
        <v>84</v>
      </c>
      <c r="E1" s="4" t="s">
        <v>83</v>
      </c>
      <c r="F1" s="4" t="s">
        <v>85</v>
      </c>
      <c r="G1" s="4" t="s">
        <v>83</v>
      </c>
      <c r="H1" s="4" t="s">
        <v>86</v>
      </c>
      <c r="I1" s="4" t="s">
        <v>83</v>
      </c>
      <c r="J1" s="4" t="s">
        <v>87</v>
      </c>
      <c r="K1" s="4" t="s">
        <v>83</v>
      </c>
      <c r="L1" s="4" t="s">
        <v>88</v>
      </c>
      <c r="M1" s="4" t="s">
        <v>83</v>
      </c>
    </row>
    <row r="2" spans="1:13">
      <c r="A2" t="s">
        <v>89</v>
      </c>
      <c r="F2" s="6">
        <v>0.9230769230769231</v>
      </c>
      <c r="G2">
        <v>13</v>
      </c>
      <c r="H2" s="6">
        <v>0.375</v>
      </c>
      <c r="I2">
        <v>8</v>
      </c>
      <c r="L2" s="6">
        <v>1</v>
      </c>
      <c r="M2">
        <v>8</v>
      </c>
    </row>
    <row r="3" spans="1:13">
      <c r="A3" t="s">
        <v>31</v>
      </c>
      <c r="B3" s="6">
        <v>0.8095238095238095</v>
      </c>
      <c r="C3">
        <v>21</v>
      </c>
      <c r="D3" s="6">
        <v>0.7272727272727273</v>
      </c>
      <c r="E3">
        <v>33</v>
      </c>
      <c r="F3" s="6">
        <v>0.9375</v>
      </c>
      <c r="G3">
        <v>32</v>
      </c>
      <c r="H3" s="6">
        <v>0.6470588235294118</v>
      </c>
      <c r="I3">
        <v>17</v>
      </c>
      <c r="L3" s="6">
        <v>1</v>
      </c>
      <c r="M3">
        <v>17</v>
      </c>
    </row>
    <row r="4" spans="1:13">
      <c r="A4" t="s">
        <v>32</v>
      </c>
      <c r="B4" s="6">
        <v>0.8378378378378378</v>
      </c>
      <c r="C4">
        <v>37</v>
      </c>
      <c r="D4" s="6">
        <v>0.6086956521739131</v>
      </c>
      <c r="E4">
        <v>23</v>
      </c>
      <c r="F4" s="6">
        <v>0.9523809523809523</v>
      </c>
      <c r="G4">
        <v>21</v>
      </c>
      <c r="H4" s="6">
        <v>0.4615384615384616</v>
      </c>
      <c r="I4">
        <v>13</v>
      </c>
      <c r="J4" s="6">
        <v>0.6666666666666666</v>
      </c>
      <c r="K4">
        <v>9</v>
      </c>
      <c r="L4" s="6">
        <v>1</v>
      </c>
      <c r="M4">
        <v>11</v>
      </c>
    </row>
    <row r="5" spans="1:13">
      <c r="A5" t="s">
        <v>33</v>
      </c>
      <c r="B5" s="6">
        <v>0.9375</v>
      </c>
      <c r="C5">
        <v>32</v>
      </c>
      <c r="D5" s="6">
        <v>0.7352941176470589</v>
      </c>
      <c r="E5">
        <v>34</v>
      </c>
      <c r="F5" s="6">
        <v>0.9642857142857143</v>
      </c>
      <c r="G5">
        <v>28</v>
      </c>
      <c r="H5" s="6">
        <v>0.2777777777777778</v>
      </c>
      <c r="I5">
        <v>18</v>
      </c>
      <c r="J5" s="6">
        <v>0.75</v>
      </c>
      <c r="K5">
        <v>12</v>
      </c>
      <c r="L5" s="6">
        <v>0.9411764705882353</v>
      </c>
      <c r="M5">
        <v>17</v>
      </c>
    </row>
    <row r="6" spans="1:13">
      <c r="A6" t="s">
        <v>34</v>
      </c>
      <c r="B6" s="6">
        <v>0.8</v>
      </c>
      <c r="C6">
        <v>30</v>
      </c>
      <c r="D6" s="6">
        <v>0.7916666666666666</v>
      </c>
      <c r="E6">
        <v>24</v>
      </c>
      <c r="F6" s="6">
        <v>0.8421052631578947</v>
      </c>
      <c r="G6">
        <v>19</v>
      </c>
      <c r="H6" s="6">
        <v>0.5294117647058824</v>
      </c>
      <c r="I6">
        <v>17</v>
      </c>
      <c r="J6" s="6">
        <v>0.4444444444444444</v>
      </c>
      <c r="K6">
        <v>9</v>
      </c>
      <c r="L6" s="6">
        <v>1</v>
      </c>
      <c r="M6">
        <v>12</v>
      </c>
    </row>
    <row r="7" spans="1:13">
      <c r="A7" t="s">
        <v>35</v>
      </c>
      <c r="B7" s="6">
        <v>0.8888888888888888</v>
      </c>
      <c r="C7">
        <v>27</v>
      </c>
      <c r="D7" s="6">
        <v>0.8</v>
      </c>
      <c r="E7">
        <v>25</v>
      </c>
      <c r="F7" s="6">
        <v>0.9</v>
      </c>
      <c r="G7">
        <v>20</v>
      </c>
      <c r="H7" s="6">
        <v>0.1875</v>
      </c>
      <c r="I7">
        <v>16</v>
      </c>
      <c r="J7" s="6">
        <v>1</v>
      </c>
      <c r="K7">
        <v>5</v>
      </c>
      <c r="L7" s="6">
        <v>1</v>
      </c>
      <c r="M7">
        <v>16</v>
      </c>
    </row>
    <row r="8" spans="1:13">
      <c r="A8" t="s">
        <v>36</v>
      </c>
      <c r="B8" s="6">
        <v>0.8529411764705882</v>
      </c>
      <c r="C8">
        <v>34</v>
      </c>
      <c r="D8" s="6">
        <v>0.6666666666666666</v>
      </c>
      <c r="E8">
        <v>27</v>
      </c>
      <c r="F8" s="6">
        <v>0.9090909090909091</v>
      </c>
      <c r="G8">
        <v>22</v>
      </c>
      <c r="H8" s="6">
        <v>0.4761904761904762</v>
      </c>
      <c r="I8">
        <v>21</v>
      </c>
      <c r="J8" s="6">
        <v>0.6363636363636364</v>
      </c>
      <c r="K8">
        <v>11</v>
      </c>
      <c r="L8" s="6">
        <v>1</v>
      </c>
      <c r="M8">
        <v>11</v>
      </c>
    </row>
    <row r="9" spans="1:13">
      <c r="A9" t="s">
        <v>37</v>
      </c>
      <c r="B9" s="6">
        <v>0.896551724137931</v>
      </c>
      <c r="C9">
        <v>29</v>
      </c>
      <c r="D9" s="6">
        <v>0.6956521739130435</v>
      </c>
      <c r="E9">
        <v>23</v>
      </c>
      <c r="F9" s="6">
        <v>0.88</v>
      </c>
      <c r="G9">
        <v>25</v>
      </c>
      <c r="H9" s="6">
        <v>0.4666666666666667</v>
      </c>
      <c r="I9">
        <v>15</v>
      </c>
      <c r="J9" s="6">
        <v>0.75</v>
      </c>
      <c r="K9">
        <v>8</v>
      </c>
      <c r="L9" s="6">
        <v>1</v>
      </c>
      <c r="M9">
        <v>13</v>
      </c>
    </row>
    <row r="10" spans="1:13">
      <c r="A10" t="s">
        <v>90</v>
      </c>
      <c r="B10" s="6">
        <v>1</v>
      </c>
      <c r="C10">
        <v>12</v>
      </c>
      <c r="D10" s="6">
        <v>0.75</v>
      </c>
      <c r="E10">
        <v>16</v>
      </c>
      <c r="F10" s="6">
        <v>0.7777777777777778</v>
      </c>
      <c r="G10">
        <v>9</v>
      </c>
      <c r="H10" s="6">
        <v>0.2222222222222222</v>
      </c>
      <c r="I10">
        <v>9</v>
      </c>
      <c r="J10" s="6">
        <v>1</v>
      </c>
      <c r="K10">
        <v>1</v>
      </c>
      <c r="L10" s="6">
        <v>1</v>
      </c>
      <c r="M10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cols>
    <col min="1" max="1" width="26.7109375" customWidth="1"/>
    <col min="2" max="2" width="15.7109375" customWidth="1"/>
    <col min="3" max="3" width="5.7109375" customWidth="1"/>
    <col min="4" max="4" width="15.7109375" customWidth="1"/>
    <col min="5" max="7" width="10.7109375" customWidth="1"/>
    <col min="8" max="8" width="12.7109375" customWidth="1"/>
    <col min="9" max="9" width="11.7109375" customWidth="1"/>
    <col min="10" max="10" width="9.7109375" customWidth="1"/>
    <col min="11" max="11" width="30.7109375" customWidth="1"/>
    <col min="12" max="12" width="11.7109375" customWidth="1"/>
  </cols>
  <sheetData>
    <row r="1" spans="1:12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</row>
    <row r="2" spans="1:12">
      <c r="A2" t="s">
        <v>25</v>
      </c>
      <c r="B2" t="s">
        <v>103</v>
      </c>
      <c r="C2">
        <v>1</v>
      </c>
      <c r="D2" t="s">
        <v>104</v>
      </c>
      <c r="E2">
        <v>25</v>
      </c>
      <c r="F2">
        <v>0</v>
      </c>
      <c r="G2">
        <v>25</v>
      </c>
      <c r="H2" s="5">
        <v>31000</v>
      </c>
      <c r="I2" t="s">
        <v>105</v>
      </c>
      <c r="J2">
        <v>2</v>
      </c>
      <c r="K2" t="s">
        <v>106</v>
      </c>
    </row>
    <row r="3" spans="1:12">
      <c r="A3" t="s">
        <v>21</v>
      </c>
      <c r="B3" t="s">
        <v>107</v>
      </c>
      <c r="C3">
        <v>2</v>
      </c>
      <c r="D3" t="s">
        <v>108</v>
      </c>
      <c r="E3">
        <v>22400</v>
      </c>
      <c r="F3">
        <v>21207</v>
      </c>
      <c r="G3">
        <v>1193</v>
      </c>
      <c r="H3" s="5">
        <v>26842.5</v>
      </c>
      <c r="I3" t="s">
        <v>109</v>
      </c>
      <c r="J3">
        <v>215</v>
      </c>
      <c r="K3" t="s">
        <v>110</v>
      </c>
      <c r="L3" t="s">
        <v>111</v>
      </c>
    </row>
    <row r="4" spans="1:12">
      <c r="A4" t="s">
        <v>21</v>
      </c>
      <c r="B4" t="s">
        <v>112</v>
      </c>
      <c r="C4">
        <v>1</v>
      </c>
      <c r="D4" t="s">
        <v>108</v>
      </c>
      <c r="E4">
        <v>6700</v>
      </c>
      <c r="F4">
        <v>6147</v>
      </c>
      <c r="G4">
        <v>553</v>
      </c>
      <c r="H4" s="5">
        <v>12442.5</v>
      </c>
      <c r="I4" t="s">
        <v>113</v>
      </c>
      <c r="J4">
        <v>142</v>
      </c>
      <c r="K4" t="s">
        <v>110</v>
      </c>
      <c r="L4" t="s">
        <v>113</v>
      </c>
    </row>
    <row r="5" spans="1:12">
      <c r="A5" t="s">
        <v>24</v>
      </c>
      <c r="B5" t="s">
        <v>114</v>
      </c>
      <c r="C5">
        <v>1</v>
      </c>
      <c r="D5" t="s">
        <v>115</v>
      </c>
      <c r="E5">
        <v>5800</v>
      </c>
      <c r="F5">
        <v>0</v>
      </c>
      <c r="G5">
        <v>5800</v>
      </c>
      <c r="H5" s="5">
        <v>9280</v>
      </c>
      <c r="I5" t="s">
        <v>105</v>
      </c>
      <c r="J5">
        <v>2</v>
      </c>
      <c r="K5" t="s">
        <v>106</v>
      </c>
    </row>
    <row r="6" spans="1:12">
      <c r="A6" t="s">
        <v>21</v>
      </c>
      <c r="B6" t="s">
        <v>116</v>
      </c>
      <c r="C6">
        <v>1</v>
      </c>
      <c r="D6" t="s">
        <v>117</v>
      </c>
      <c r="E6">
        <v>21600</v>
      </c>
      <c r="F6">
        <v>20419</v>
      </c>
      <c r="G6">
        <v>1181</v>
      </c>
      <c r="H6" s="5">
        <v>9259.039999999999</v>
      </c>
      <c r="I6" t="s">
        <v>118</v>
      </c>
      <c r="J6">
        <v>41</v>
      </c>
      <c r="K6" t="s">
        <v>110</v>
      </c>
      <c r="L6" t="s">
        <v>119</v>
      </c>
    </row>
    <row r="7" spans="1:12">
      <c r="A7" t="s">
        <v>21</v>
      </c>
      <c r="B7" t="s">
        <v>120</v>
      </c>
      <c r="C7">
        <v>3</v>
      </c>
      <c r="D7" t="s">
        <v>117</v>
      </c>
      <c r="E7">
        <v>11800</v>
      </c>
      <c r="F7">
        <v>10723</v>
      </c>
      <c r="G7">
        <v>1077</v>
      </c>
      <c r="H7" s="5">
        <v>8443.68</v>
      </c>
      <c r="I7" t="s">
        <v>121</v>
      </c>
      <c r="J7">
        <v>75</v>
      </c>
      <c r="K7" t="s">
        <v>110</v>
      </c>
      <c r="L7" t="s">
        <v>121</v>
      </c>
    </row>
    <row r="8" spans="1:12">
      <c r="A8" t="s">
        <v>21</v>
      </c>
      <c r="B8" t="s">
        <v>122</v>
      </c>
      <c r="C8">
        <v>1</v>
      </c>
      <c r="D8" t="s">
        <v>123</v>
      </c>
      <c r="E8">
        <v>20100</v>
      </c>
      <c r="F8">
        <v>18094</v>
      </c>
      <c r="G8">
        <v>2006</v>
      </c>
      <c r="H8" s="5">
        <v>7863.52</v>
      </c>
      <c r="I8" t="s">
        <v>124</v>
      </c>
      <c r="J8">
        <v>23</v>
      </c>
      <c r="K8" t="s">
        <v>110</v>
      </c>
      <c r="L8" t="s">
        <v>125</v>
      </c>
    </row>
    <row r="9" spans="1:12">
      <c r="A9" t="s">
        <v>21</v>
      </c>
      <c r="B9" t="s">
        <v>126</v>
      </c>
      <c r="C9">
        <v>1</v>
      </c>
      <c r="D9" t="s">
        <v>117</v>
      </c>
      <c r="E9">
        <v>8500</v>
      </c>
      <c r="F9">
        <v>7788</v>
      </c>
      <c r="G9">
        <v>712</v>
      </c>
      <c r="H9" s="5">
        <v>5582.08</v>
      </c>
      <c r="I9" t="s">
        <v>127</v>
      </c>
      <c r="J9">
        <v>52</v>
      </c>
      <c r="K9" t="s">
        <v>110</v>
      </c>
      <c r="L9" t="s">
        <v>128</v>
      </c>
    </row>
    <row r="10" spans="1:12">
      <c r="A10" t="s">
        <v>21</v>
      </c>
      <c r="B10" t="s">
        <v>129</v>
      </c>
      <c r="C10">
        <v>3</v>
      </c>
      <c r="D10" t="s">
        <v>108</v>
      </c>
      <c r="E10">
        <v>3200</v>
      </c>
      <c r="F10">
        <v>2963</v>
      </c>
      <c r="G10">
        <v>237</v>
      </c>
      <c r="H10" s="5">
        <v>5332.5</v>
      </c>
      <c r="I10" t="s">
        <v>130</v>
      </c>
      <c r="J10">
        <v>66</v>
      </c>
      <c r="K10" t="s">
        <v>110</v>
      </c>
      <c r="L10" t="s">
        <v>130</v>
      </c>
    </row>
    <row r="11" spans="1:12">
      <c r="A11" t="s">
        <v>24</v>
      </c>
      <c r="B11" t="s">
        <v>131</v>
      </c>
      <c r="C11">
        <v>1</v>
      </c>
      <c r="D11" t="s">
        <v>132</v>
      </c>
      <c r="E11">
        <v>8350</v>
      </c>
      <c r="F11">
        <v>7960</v>
      </c>
      <c r="G11">
        <v>390</v>
      </c>
      <c r="H11" s="5">
        <v>1209</v>
      </c>
      <c r="I11" t="s">
        <v>133</v>
      </c>
      <c r="J11">
        <v>151</v>
      </c>
      <c r="K11" t="s">
        <v>110</v>
      </c>
      <c r="L11" t="s">
        <v>134</v>
      </c>
    </row>
    <row r="12" spans="1:12">
      <c r="A12" t="s">
        <v>22</v>
      </c>
      <c r="B12" t="s">
        <v>135</v>
      </c>
      <c r="C12">
        <v>3</v>
      </c>
      <c r="D12" t="s">
        <v>136</v>
      </c>
      <c r="E12">
        <v>21900</v>
      </c>
      <c r="F12">
        <v>19888</v>
      </c>
      <c r="G12">
        <v>2012</v>
      </c>
      <c r="H12" s="5">
        <v>1106.6</v>
      </c>
      <c r="I12" t="s">
        <v>137</v>
      </c>
      <c r="J12">
        <v>158</v>
      </c>
      <c r="K12" t="s">
        <v>110</v>
      </c>
      <c r="L12" t="s">
        <v>137</v>
      </c>
    </row>
    <row r="13" spans="1:12">
      <c r="A13" t="s">
        <v>24</v>
      </c>
      <c r="B13" t="s">
        <v>138</v>
      </c>
      <c r="C13">
        <v>1</v>
      </c>
      <c r="D13" t="s">
        <v>132</v>
      </c>
      <c r="E13">
        <v>350</v>
      </c>
      <c r="F13">
        <v>0</v>
      </c>
      <c r="G13">
        <v>350</v>
      </c>
      <c r="H13" s="5">
        <v>1085</v>
      </c>
      <c r="I13" t="s">
        <v>139</v>
      </c>
      <c r="J13">
        <v>10</v>
      </c>
      <c r="K13" t="s">
        <v>106</v>
      </c>
    </row>
    <row r="14" spans="1:12">
      <c r="A14" t="s">
        <v>24</v>
      </c>
      <c r="B14" t="s">
        <v>140</v>
      </c>
      <c r="C14">
        <v>1</v>
      </c>
      <c r="D14" t="s">
        <v>132</v>
      </c>
      <c r="E14">
        <v>350</v>
      </c>
      <c r="F14">
        <v>0</v>
      </c>
      <c r="G14">
        <v>350</v>
      </c>
      <c r="H14" s="5">
        <v>1085</v>
      </c>
      <c r="I14" t="s">
        <v>141</v>
      </c>
      <c r="J14">
        <v>8</v>
      </c>
      <c r="K14" t="s">
        <v>106</v>
      </c>
    </row>
    <row r="15" spans="1:12">
      <c r="A15" t="s">
        <v>24</v>
      </c>
      <c r="B15" t="s">
        <v>142</v>
      </c>
      <c r="C15">
        <v>1</v>
      </c>
      <c r="D15" t="s">
        <v>132</v>
      </c>
      <c r="E15">
        <v>6900</v>
      </c>
      <c r="F15">
        <v>6566</v>
      </c>
      <c r="G15">
        <v>334</v>
      </c>
      <c r="H15" s="5">
        <v>1035.4</v>
      </c>
      <c r="I15" t="s">
        <v>143</v>
      </c>
      <c r="J15">
        <v>4</v>
      </c>
      <c r="K15" t="s">
        <v>110</v>
      </c>
      <c r="L15" t="s">
        <v>144</v>
      </c>
    </row>
    <row r="16" spans="1:12">
      <c r="A16" t="s">
        <v>21</v>
      </c>
      <c r="B16" t="s">
        <v>120</v>
      </c>
      <c r="C16">
        <v>1</v>
      </c>
      <c r="D16" t="s">
        <v>145</v>
      </c>
      <c r="E16">
        <v>5300</v>
      </c>
      <c r="F16">
        <v>4970</v>
      </c>
      <c r="G16">
        <v>330</v>
      </c>
      <c r="H16" s="5">
        <v>940.5</v>
      </c>
      <c r="I16" t="s">
        <v>121</v>
      </c>
      <c r="J16">
        <v>75</v>
      </c>
      <c r="K16" t="s">
        <v>110</v>
      </c>
      <c r="L16" t="s">
        <v>146</v>
      </c>
    </row>
    <row r="17" spans="1:12">
      <c r="A17" t="s">
        <v>25</v>
      </c>
      <c r="B17" t="s">
        <v>103</v>
      </c>
      <c r="C17">
        <v>2</v>
      </c>
      <c r="D17" t="s">
        <v>147</v>
      </c>
      <c r="E17">
        <v>50</v>
      </c>
      <c r="F17">
        <v>0</v>
      </c>
      <c r="G17">
        <v>50</v>
      </c>
      <c r="H17" s="5">
        <v>910</v>
      </c>
      <c r="I17" t="s">
        <v>105</v>
      </c>
      <c r="J17">
        <v>2</v>
      </c>
      <c r="K17" t="s">
        <v>106</v>
      </c>
    </row>
    <row r="18" spans="1:12">
      <c r="A18" t="s">
        <v>22</v>
      </c>
      <c r="B18" t="s">
        <v>148</v>
      </c>
      <c r="C18">
        <v>1</v>
      </c>
      <c r="D18" t="s">
        <v>149</v>
      </c>
      <c r="E18">
        <v>18200</v>
      </c>
      <c r="F18">
        <v>17279</v>
      </c>
      <c r="G18">
        <v>921</v>
      </c>
      <c r="H18" s="5">
        <v>773.64</v>
      </c>
      <c r="I18" t="s">
        <v>150</v>
      </c>
      <c r="J18">
        <v>87</v>
      </c>
      <c r="K18" t="s">
        <v>110</v>
      </c>
      <c r="L18" t="s">
        <v>151</v>
      </c>
    </row>
    <row r="19" spans="1:12">
      <c r="A19" t="s">
        <v>23</v>
      </c>
      <c r="B19" t="s">
        <v>152</v>
      </c>
      <c r="C19">
        <v>1</v>
      </c>
      <c r="D19" t="s">
        <v>153</v>
      </c>
      <c r="E19">
        <v>8350</v>
      </c>
      <c r="F19">
        <v>0</v>
      </c>
      <c r="G19">
        <v>8350</v>
      </c>
      <c r="H19" s="5">
        <v>668</v>
      </c>
      <c r="I19" t="s">
        <v>105</v>
      </c>
      <c r="J19">
        <v>2</v>
      </c>
      <c r="K19" t="s">
        <v>106</v>
      </c>
    </row>
    <row r="20" spans="1:12">
      <c r="A20" t="s">
        <v>22</v>
      </c>
      <c r="B20" t="s">
        <v>154</v>
      </c>
      <c r="C20">
        <v>2</v>
      </c>
      <c r="D20" t="s">
        <v>149</v>
      </c>
      <c r="E20">
        <v>9500</v>
      </c>
      <c r="F20">
        <v>8793</v>
      </c>
      <c r="G20">
        <v>707</v>
      </c>
      <c r="H20" s="5">
        <v>593.88</v>
      </c>
      <c r="I20" t="s">
        <v>155</v>
      </c>
      <c r="J20">
        <v>103</v>
      </c>
      <c r="K20" t="s">
        <v>110</v>
      </c>
      <c r="L20" t="s">
        <v>156</v>
      </c>
    </row>
    <row r="21" spans="1:12">
      <c r="A21" t="s">
        <v>22</v>
      </c>
      <c r="B21" t="s">
        <v>157</v>
      </c>
      <c r="C21">
        <v>1</v>
      </c>
      <c r="D21" t="s">
        <v>149</v>
      </c>
      <c r="E21">
        <v>16900</v>
      </c>
      <c r="F21">
        <v>16247</v>
      </c>
      <c r="G21">
        <v>653</v>
      </c>
      <c r="H21" s="5">
        <v>548.52</v>
      </c>
      <c r="I21" t="s">
        <v>158</v>
      </c>
      <c r="J21">
        <v>198</v>
      </c>
      <c r="K21" t="s">
        <v>110</v>
      </c>
      <c r="L21" t="s">
        <v>159</v>
      </c>
    </row>
    <row r="22" spans="1:12">
      <c r="A22" t="s">
        <v>22</v>
      </c>
      <c r="B22" t="s">
        <v>160</v>
      </c>
      <c r="C22">
        <v>2</v>
      </c>
      <c r="D22" t="s">
        <v>136</v>
      </c>
      <c r="E22">
        <v>8800</v>
      </c>
      <c r="F22">
        <v>8055</v>
      </c>
      <c r="G22">
        <v>745</v>
      </c>
      <c r="H22" s="5">
        <v>409.7500000000001</v>
      </c>
      <c r="I22" t="s">
        <v>161</v>
      </c>
      <c r="J22">
        <v>117</v>
      </c>
      <c r="K22" t="s">
        <v>110</v>
      </c>
      <c r="L22" t="s">
        <v>162</v>
      </c>
    </row>
    <row r="23" spans="1:12">
      <c r="A23" t="s">
        <v>22</v>
      </c>
      <c r="B23" t="s">
        <v>163</v>
      </c>
      <c r="C23">
        <v>1</v>
      </c>
      <c r="D23" t="s">
        <v>136</v>
      </c>
      <c r="E23">
        <v>14900</v>
      </c>
      <c r="F23">
        <v>14390</v>
      </c>
      <c r="G23">
        <v>510</v>
      </c>
      <c r="H23" s="5">
        <v>280.5</v>
      </c>
      <c r="I23" t="s">
        <v>164</v>
      </c>
      <c r="J23">
        <v>19</v>
      </c>
      <c r="K23" t="s">
        <v>110</v>
      </c>
      <c r="L23" t="s">
        <v>124</v>
      </c>
    </row>
    <row r="24" spans="1:12">
      <c r="A24" t="s">
        <v>22</v>
      </c>
      <c r="B24" t="s">
        <v>165</v>
      </c>
      <c r="C24">
        <v>1</v>
      </c>
      <c r="D24" t="s">
        <v>166</v>
      </c>
      <c r="E24">
        <v>14100</v>
      </c>
      <c r="F24">
        <v>13534</v>
      </c>
      <c r="G24">
        <v>566</v>
      </c>
      <c r="H24" s="5">
        <v>232.06</v>
      </c>
      <c r="I24" t="s">
        <v>167</v>
      </c>
      <c r="J24">
        <v>192</v>
      </c>
      <c r="K24" t="s">
        <v>110</v>
      </c>
      <c r="L24" t="s">
        <v>168</v>
      </c>
    </row>
    <row r="25" spans="1:12">
      <c r="A25" t="s">
        <v>24</v>
      </c>
      <c r="B25" t="s">
        <v>169</v>
      </c>
      <c r="C25">
        <v>2</v>
      </c>
      <c r="D25" t="s">
        <v>170</v>
      </c>
      <c r="E25">
        <v>2150</v>
      </c>
      <c r="F25">
        <v>2056</v>
      </c>
      <c r="G25">
        <v>94</v>
      </c>
      <c r="H25" s="5">
        <v>225.6</v>
      </c>
      <c r="I25" t="s">
        <v>171</v>
      </c>
      <c r="J25">
        <v>205</v>
      </c>
      <c r="K25" t="s">
        <v>110</v>
      </c>
      <c r="L25" t="s">
        <v>172</v>
      </c>
    </row>
    <row r="26" spans="1:12">
      <c r="A26" t="s">
        <v>23</v>
      </c>
      <c r="B26" t="s">
        <v>173</v>
      </c>
      <c r="C26">
        <v>1</v>
      </c>
      <c r="D26" t="s">
        <v>153</v>
      </c>
      <c r="E26">
        <v>2500</v>
      </c>
      <c r="F26">
        <v>0</v>
      </c>
      <c r="G26">
        <v>2500</v>
      </c>
      <c r="H26" s="5">
        <v>200</v>
      </c>
      <c r="I26" t="s">
        <v>143</v>
      </c>
      <c r="J26">
        <v>4</v>
      </c>
      <c r="K26" t="s">
        <v>106</v>
      </c>
    </row>
    <row r="27" spans="1:12">
      <c r="A27" t="s">
        <v>24</v>
      </c>
      <c r="B27" t="s">
        <v>174</v>
      </c>
      <c r="C27">
        <v>1</v>
      </c>
      <c r="D27" t="s">
        <v>170</v>
      </c>
      <c r="E27">
        <v>1250</v>
      </c>
      <c r="F27">
        <v>1201</v>
      </c>
      <c r="G27">
        <v>49</v>
      </c>
      <c r="H27" s="5">
        <v>117.6</v>
      </c>
      <c r="I27" t="s">
        <v>175</v>
      </c>
      <c r="J27">
        <v>144</v>
      </c>
      <c r="K27" t="s">
        <v>110</v>
      </c>
      <c r="L27" t="s">
        <v>176</v>
      </c>
    </row>
    <row r="28" spans="1:12">
      <c r="A28" t="s">
        <v>22</v>
      </c>
      <c r="B28" t="s">
        <v>177</v>
      </c>
      <c r="C28">
        <v>1</v>
      </c>
      <c r="D28" t="s">
        <v>136</v>
      </c>
      <c r="E28">
        <v>2400</v>
      </c>
      <c r="F28">
        <v>2222</v>
      </c>
      <c r="G28">
        <v>178</v>
      </c>
      <c r="H28" s="5">
        <v>97.90000000000001</v>
      </c>
      <c r="I28" t="s">
        <v>178</v>
      </c>
      <c r="J28">
        <v>31</v>
      </c>
      <c r="K28" t="s">
        <v>110</v>
      </c>
      <c r="L28" t="s">
        <v>179</v>
      </c>
    </row>
    <row r="29" spans="1:12">
      <c r="A29" t="s">
        <v>23</v>
      </c>
      <c r="B29" t="s">
        <v>180</v>
      </c>
      <c r="C29">
        <v>1</v>
      </c>
      <c r="D29" t="s">
        <v>181</v>
      </c>
      <c r="E29">
        <v>7950</v>
      </c>
      <c r="F29">
        <v>7186</v>
      </c>
      <c r="G29">
        <v>764</v>
      </c>
      <c r="H29" s="5">
        <v>84.04000000000001</v>
      </c>
      <c r="I29" t="s">
        <v>182</v>
      </c>
      <c r="J29">
        <v>60</v>
      </c>
      <c r="K29" t="s">
        <v>110</v>
      </c>
      <c r="L29" t="s">
        <v>183</v>
      </c>
    </row>
    <row r="30" spans="1:12">
      <c r="A30" t="s">
        <v>23</v>
      </c>
      <c r="B30" t="s">
        <v>184</v>
      </c>
      <c r="C30">
        <v>2</v>
      </c>
      <c r="D30" t="s">
        <v>185</v>
      </c>
      <c r="E30">
        <v>6350</v>
      </c>
      <c r="F30">
        <v>5897</v>
      </c>
      <c r="G30">
        <v>453</v>
      </c>
      <c r="H30" s="5">
        <v>63.42000000000001</v>
      </c>
      <c r="I30" t="s">
        <v>186</v>
      </c>
      <c r="J30">
        <v>122</v>
      </c>
      <c r="K30" t="s">
        <v>110</v>
      </c>
      <c r="L30" t="s">
        <v>187</v>
      </c>
    </row>
    <row r="31" spans="1:12">
      <c r="A31" t="s">
        <v>22</v>
      </c>
      <c r="B31" t="s">
        <v>188</v>
      </c>
      <c r="C31">
        <v>1</v>
      </c>
      <c r="D31" t="s">
        <v>149</v>
      </c>
      <c r="E31">
        <v>1100</v>
      </c>
      <c r="F31">
        <v>1030</v>
      </c>
      <c r="G31">
        <v>70</v>
      </c>
      <c r="H31" s="5">
        <v>58.8</v>
      </c>
      <c r="I31" t="s">
        <v>189</v>
      </c>
      <c r="J31">
        <v>212</v>
      </c>
      <c r="K31" t="s">
        <v>110</v>
      </c>
      <c r="L31" t="s">
        <v>190</v>
      </c>
    </row>
    <row r="32" spans="1:12">
      <c r="A32" t="s">
        <v>23</v>
      </c>
      <c r="B32" t="s">
        <v>191</v>
      </c>
      <c r="C32">
        <v>1</v>
      </c>
      <c r="D32" t="s">
        <v>185</v>
      </c>
      <c r="E32">
        <v>6600</v>
      </c>
      <c r="F32">
        <v>6198</v>
      </c>
      <c r="G32">
        <v>402</v>
      </c>
      <c r="H32" s="5">
        <v>56.28000000000001</v>
      </c>
      <c r="I32" t="s">
        <v>167</v>
      </c>
      <c r="J32">
        <v>192</v>
      </c>
      <c r="K32" t="s">
        <v>110</v>
      </c>
      <c r="L32" t="s">
        <v>192</v>
      </c>
    </row>
    <row r="33" spans="1:12">
      <c r="A33" t="s">
        <v>23</v>
      </c>
      <c r="B33" t="s">
        <v>193</v>
      </c>
      <c r="C33">
        <v>1</v>
      </c>
      <c r="D33" t="s">
        <v>185</v>
      </c>
      <c r="E33">
        <v>6950</v>
      </c>
      <c r="F33">
        <v>6595</v>
      </c>
      <c r="G33">
        <v>355</v>
      </c>
      <c r="H33" s="5">
        <v>49.7</v>
      </c>
      <c r="I33" t="s">
        <v>194</v>
      </c>
      <c r="J33">
        <v>17</v>
      </c>
      <c r="K33" t="s">
        <v>110</v>
      </c>
      <c r="L33" t="s">
        <v>195</v>
      </c>
    </row>
    <row r="34" spans="1:12">
      <c r="A34" t="s">
        <v>22</v>
      </c>
      <c r="B34" t="s">
        <v>196</v>
      </c>
      <c r="C34">
        <v>1</v>
      </c>
      <c r="D34" t="s">
        <v>197</v>
      </c>
      <c r="E34">
        <v>700</v>
      </c>
      <c r="F34">
        <v>646</v>
      </c>
      <c r="G34">
        <v>54</v>
      </c>
      <c r="H34" s="5">
        <v>33.48</v>
      </c>
      <c r="I34" t="s">
        <v>198</v>
      </c>
      <c r="J34">
        <v>80</v>
      </c>
      <c r="K34" t="s">
        <v>110</v>
      </c>
      <c r="L34" t="s">
        <v>199</v>
      </c>
    </row>
    <row r="35" spans="1:12">
      <c r="A35" t="s">
        <v>26</v>
      </c>
      <c r="B35" t="s">
        <v>200</v>
      </c>
      <c r="C35">
        <v>1</v>
      </c>
      <c r="D35" t="s">
        <v>201</v>
      </c>
      <c r="E35">
        <v>500</v>
      </c>
      <c r="F35">
        <v>0</v>
      </c>
      <c r="G35">
        <v>500</v>
      </c>
      <c r="H35" s="5">
        <v>30</v>
      </c>
      <c r="I35" t="s">
        <v>105</v>
      </c>
      <c r="J35">
        <v>2</v>
      </c>
      <c r="K35" t="s">
        <v>106</v>
      </c>
    </row>
    <row r="36" spans="1:12">
      <c r="A36" t="s">
        <v>23</v>
      </c>
      <c r="B36" t="s">
        <v>202</v>
      </c>
      <c r="C36">
        <v>1</v>
      </c>
      <c r="D36" t="s">
        <v>153</v>
      </c>
      <c r="E36">
        <v>1200</v>
      </c>
      <c r="F36">
        <v>1102</v>
      </c>
      <c r="G36">
        <v>98</v>
      </c>
      <c r="H36" s="5">
        <v>7.84</v>
      </c>
      <c r="I36" t="s">
        <v>203</v>
      </c>
      <c r="J36">
        <v>47</v>
      </c>
      <c r="K36" t="s">
        <v>110</v>
      </c>
      <c r="L36" t="s">
        <v>204</v>
      </c>
    </row>
    <row r="37" spans="1:12">
      <c r="A37" t="s">
        <v>26</v>
      </c>
      <c r="B37" t="s">
        <v>205</v>
      </c>
      <c r="C37">
        <v>1</v>
      </c>
      <c r="D37" t="s">
        <v>201</v>
      </c>
      <c r="E37">
        <v>1760</v>
      </c>
      <c r="F37">
        <v>1675</v>
      </c>
      <c r="G37">
        <v>85</v>
      </c>
      <c r="H37" s="5">
        <v>5.1</v>
      </c>
      <c r="I37" t="s">
        <v>124</v>
      </c>
      <c r="J37">
        <v>23</v>
      </c>
      <c r="K37" t="s">
        <v>110</v>
      </c>
      <c r="L37" t="s">
        <v>206</v>
      </c>
    </row>
    <row r="38" spans="1:12">
      <c r="A38" t="s">
        <v>23</v>
      </c>
      <c r="B38" t="s">
        <v>207</v>
      </c>
      <c r="C38">
        <v>2</v>
      </c>
      <c r="D38" t="s">
        <v>153</v>
      </c>
      <c r="E38">
        <v>900</v>
      </c>
      <c r="F38">
        <v>850</v>
      </c>
      <c r="G38">
        <v>50</v>
      </c>
      <c r="H38" s="5">
        <v>4</v>
      </c>
      <c r="I38" t="s">
        <v>208</v>
      </c>
      <c r="J38">
        <v>146</v>
      </c>
      <c r="K38" t="s">
        <v>110</v>
      </c>
      <c r="L38" t="s">
        <v>209</v>
      </c>
    </row>
    <row r="39" spans="1:12">
      <c r="A39" t="s">
        <v>23</v>
      </c>
      <c r="B39" t="s">
        <v>210</v>
      </c>
      <c r="C39">
        <v>2</v>
      </c>
      <c r="D39" t="s">
        <v>153</v>
      </c>
      <c r="E39">
        <v>550</v>
      </c>
      <c r="F39">
        <v>516</v>
      </c>
      <c r="G39">
        <v>34</v>
      </c>
      <c r="H39" s="5">
        <v>2.72</v>
      </c>
      <c r="I39" t="s">
        <v>211</v>
      </c>
      <c r="J39">
        <v>188</v>
      </c>
      <c r="K39" t="s">
        <v>110</v>
      </c>
      <c r="L39" t="s">
        <v>212</v>
      </c>
    </row>
    <row r="40" spans="1:12">
      <c r="A40" t="s">
        <v>26</v>
      </c>
      <c r="B40" t="s">
        <v>213</v>
      </c>
      <c r="C40">
        <v>1</v>
      </c>
      <c r="D40" t="s">
        <v>214</v>
      </c>
      <c r="E40">
        <v>200</v>
      </c>
      <c r="F40">
        <v>186</v>
      </c>
      <c r="G40">
        <v>14</v>
      </c>
      <c r="H40" s="5">
        <v>2.52</v>
      </c>
      <c r="I40" t="s">
        <v>215</v>
      </c>
      <c r="J40">
        <v>81</v>
      </c>
      <c r="K40" t="s">
        <v>110</v>
      </c>
      <c r="L40" t="s">
        <v>216</v>
      </c>
    </row>
    <row r="41" spans="1:12">
      <c r="A41" t="s">
        <v>26</v>
      </c>
      <c r="B41" t="s">
        <v>217</v>
      </c>
      <c r="C41">
        <v>1</v>
      </c>
      <c r="D41" t="s">
        <v>201</v>
      </c>
      <c r="E41">
        <v>600</v>
      </c>
      <c r="F41">
        <v>569</v>
      </c>
      <c r="G41">
        <v>31</v>
      </c>
      <c r="H41" s="5">
        <v>1.86</v>
      </c>
      <c r="I41" t="s">
        <v>113</v>
      </c>
      <c r="J41">
        <v>142</v>
      </c>
      <c r="K41" t="s">
        <v>110</v>
      </c>
      <c r="L41" t="s">
        <v>218</v>
      </c>
    </row>
    <row r="43" spans="1:12">
      <c r="A43" t="s">
        <v>219</v>
      </c>
    </row>
  </sheetData>
  <autoFilter ref="A1:L4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24.7109375" customWidth="1"/>
    <col min="2" max="2" width="15.7109375" customWidth="1"/>
    <col min="3" max="3" width="5.7109375" customWidth="1"/>
    <col min="4" max="4" width="15.7109375" customWidth="1"/>
    <col min="5" max="5" width="10.7109375" customWidth="1"/>
    <col min="6" max="6" width="12.7109375" customWidth="1"/>
    <col min="7" max="7" width="8.7109375" customWidth="1"/>
    <col min="8" max="8" width="10.7109375" customWidth="1"/>
    <col min="9" max="10" width="14.7109375" customWidth="1"/>
    <col min="11" max="11" width="12.7109375" customWidth="1"/>
  </cols>
  <sheetData>
    <row r="1" spans="1:11">
      <c r="A1" s="4" t="s">
        <v>91</v>
      </c>
      <c r="B1" s="4" t="s">
        <v>92</v>
      </c>
      <c r="C1" s="4" t="s">
        <v>93</v>
      </c>
      <c r="D1" s="4" t="s">
        <v>94</v>
      </c>
      <c r="E1" s="4" t="s">
        <v>220</v>
      </c>
      <c r="F1" s="4" t="s">
        <v>221</v>
      </c>
      <c r="G1" s="4" t="s">
        <v>222</v>
      </c>
      <c r="H1" s="4" t="s">
        <v>223</v>
      </c>
      <c r="I1" s="4" t="s">
        <v>224</v>
      </c>
      <c r="J1" s="4" t="s">
        <v>225</v>
      </c>
      <c r="K1" s="4" t="s">
        <v>226</v>
      </c>
    </row>
    <row r="2" spans="1:11">
      <c r="A2" t="s">
        <v>21</v>
      </c>
      <c r="B2" t="s">
        <v>227</v>
      </c>
      <c r="C2">
        <v>1</v>
      </c>
      <c r="D2" t="s">
        <v>123</v>
      </c>
      <c r="E2">
        <v>3.92</v>
      </c>
      <c r="F2">
        <v>3.9592</v>
      </c>
      <c r="G2" s="6">
        <v>0.01000000000000003</v>
      </c>
      <c r="H2" s="7">
        <v>20900</v>
      </c>
      <c r="I2" s="5">
        <v>819.2800000000026</v>
      </c>
      <c r="J2" s="5">
        <v>819.2800000000026</v>
      </c>
      <c r="K2" t="s">
        <v>228</v>
      </c>
    </row>
    <row r="3" spans="1:11">
      <c r="A3" t="s">
        <v>21</v>
      </c>
      <c r="B3" t="s">
        <v>229</v>
      </c>
      <c r="C3">
        <v>2</v>
      </c>
      <c r="D3" t="s">
        <v>123</v>
      </c>
      <c r="E3">
        <v>3.92</v>
      </c>
      <c r="F3">
        <v>3.9592</v>
      </c>
      <c r="G3" s="6">
        <v>0.01000000000000003</v>
      </c>
      <c r="H3" s="7">
        <v>9600</v>
      </c>
      <c r="I3" s="5">
        <v>376.3200000000012</v>
      </c>
      <c r="J3" s="5">
        <v>376.3200000000012</v>
      </c>
      <c r="K3" t="s">
        <v>150</v>
      </c>
    </row>
    <row r="4" spans="1:11">
      <c r="A4" t="s">
        <v>21</v>
      </c>
      <c r="B4" t="s">
        <v>230</v>
      </c>
      <c r="C4">
        <v>1</v>
      </c>
      <c r="D4" t="s">
        <v>123</v>
      </c>
      <c r="E4">
        <v>3.92</v>
      </c>
      <c r="F4">
        <v>3.9592</v>
      </c>
      <c r="G4" s="6">
        <v>0.01000000000000003</v>
      </c>
      <c r="H4" s="7">
        <v>2300</v>
      </c>
      <c r="I4" s="5">
        <v>90.16000000000028</v>
      </c>
      <c r="J4" s="5">
        <v>90.16000000000028</v>
      </c>
      <c r="K4" t="s">
        <v>151</v>
      </c>
    </row>
    <row r="5" spans="1:11">
      <c r="A5" t="s">
        <v>21</v>
      </c>
      <c r="B5" t="s">
        <v>231</v>
      </c>
      <c r="C5">
        <v>1</v>
      </c>
      <c r="D5" t="s">
        <v>123</v>
      </c>
      <c r="E5">
        <v>3.92</v>
      </c>
      <c r="F5">
        <v>3.9592</v>
      </c>
      <c r="G5" s="6">
        <v>0.01000000000000003</v>
      </c>
      <c r="H5" s="7">
        <v>13400</v>
      </c>
      <c r="I5" s="5">
        <v>525.2800000000017</v>
      </c>
      <c r="J5" s="5">
        <v>525.2800000000017</v>
      </c>
      <c r="K5" t="s">
        <v>232</v>
      </c>
    </row>
    <row r="6" spans="1:11">
      <c r="A6" t="s">
        <v>21</v>
      </c>
      <c r="B6" t="s">
        <v>233</v>
      </c>
      <c r="C6">
        <v>2</v>
      </c>
      <c r="D6" t="s">
        <v>123</v>
      </c>
      <c r="E6">
        <v>3.92</v>
      </c>
      <c r="F6">
        <v>3.9984</v>
      </c>
      <c r="G6" s="6">
        <v>0.02000000000000006</v>
      </c>
      <c r="H6" s="7">
        <v>6300</v>
      </c>
      <c r="I6" s="5">
        <v>493.9200000000016</v>
      </c>
      <c r="J6" s="5">
        <v>493.9200000000016</v>
      </c>
      <c r="K6" t="s">
        <v>234</v>
      </c>
    </row>
    <row r="7" spans="1:11">
      <c r="A7" t="s">
        <v>21</v>
      </c>
      <c r="B7" t="s">
        <v>235</v>
      </c>
      <c r="C7">
        <v>1</v>
      </c>
      <c r="D7" t="s">
        <v>123</v>
      </c>
      <c r="E7">
        <v>3.92</v>
      </c>
      <c r="F7">
        <v>3.9984</v>
      </c>
      <c r="G7" s="6">
        <v>0.02000000000000006</v>
      </c>
      <c r="H7" s="7">
        <v>9300</v>
      </c>
      <c r="I7" s="5">
        <v>729.1200000000023</v>
      </c>
      <c r="J7" s="5">
        <v>729.1200000000023</v>
      </c>
      <c r="K7" t="s">
        <v>199</v>
      </c>
    </row>
    <row r="8" spans="1:11">
      <c r="A8" t="s">
        <v>21</v>
      </c>
      <c r="B8" t="s">
        <v>236</v>
      </c>
      <c r="C8">
        <v>3</v>
      </c>
      <c r="D8" t="s">
        <v>123</v>
      </c>
      <c r="E8">
        <v>3.92</v>
      </c>
      <c r="F8">
        <v>3.9984</v>
      </c>
      <c r="G8" s="6">
        <v>0.02000000000000006</v>
      </c>
      <c r="H8" s="7">
        <v>2300</v>
      </c>
      <c r="I8" s="5">
        <v>180.3200000000006</v>
      </c>
      <c r="J8" s="5">
        <v>180.3200000000006</v>
      </c>
      <c r="K8" t="s">
        <v>237</v>
      </c>
    </row>
    <row r="9" spans="1:11">
      <c r="A9" t="s">
        <v>21</v>
      </c>
      <c r="B9" t="s">
        <v>122</v>
      </c>
      <c r="C9">
        <v>1</v>
      </c>
      <c r="D9" t="s">
        <v>123</v>
      </c>
      <c r="E9">
        <v>3.92</v>
      </c>
      <c r="F9">
        <v>3.9984</v>
      </c>
      <c r="G9" s="6">
        <v>0.02000000000000006</v>
      </c>
      <c r="H9" s="7">
        <v>20100</v>
      </c>
      <c r="I9" s="5">
        <v>1575.840000000005</v>
      </c>
      <c r="J9" s="5">
        <v>1418.569600000005</v>
      </c>
      <c r="K9" t="s">
        <v>238</v>
      </c>
    </row>
    <row r="10" spans="1:11">
      <c r="A10" t="s">
        <v>21</v>
      </c>
      <c r="B10" t="s">
        <v>239</v>
      </c>
      <c r="C10">
        <v>2</v>
      </c>
      <c r="D10" t="s">
        <v>123</v>
      </c>
      <c r="E10">
        <v>3.92</v>
      </c>
      <c r="F10">
        <v>3.9984</v>
      </c>
      <c r="G10" s="6">
        <v>0.02000000000000006</v>
      </c>
      <c r="H10" s="7">
        <v>16500</v>
      </c>
      <c r="I10" s="5">
        <v>1293.600000000004</v>
      </c>
      <c r="J10" s="5">
        <v>1293.600000000004</v>
      </c>
      <c r="K10" t="s">
        <v>240</v>
      </c>
    </row>
    <row r="11" spans="1:11">
      <c r="A11" t="s">
        <v>21</v>
      </c>
      <c r="B11" t="s">
        <v>241</v>
      </c>
      <c r="C11">
        <v>1</v>
      </c>
      <c r="D11" t="s">
        <v>123</v>
      </c>
      <c r="E11">
        <v>3.92</v>
      </c>
      <c r="F11">
        <v>3.9984</v>
      </c>
      <c r="G11" s="6">
        <v>0.02000000000000006</v>
      </c>
      <c r="H11" s="7">
        <v>16300</v>
      </c>
      <c r="I11" s="5">
        <v>1277.920000000004</v>
      </c>
      <c r="J11" s="5">
        <v>1277.920000000004</v>
      </c>
      <c r="K11" t="s">
        <v>203</v>
      </c>
    </row>
    <row r="12" spans="1:11">
      <c r="A12" t="s">
        <v>21</v>
      </c>
      <c r="B12" t="s">
        <v>242</v>
      </c>
      <c r="C12">
        <v>2</v>
      </c>
      <c r="D12" t="s">
        <v>123</v>
      </c>
      <c r="E12">
        <v>3.92</v>
      </c>
      <c r="F12">
        <v>3.9984</v>
      </c>
      <c r="G12" s="6">
        <v>0.02000000000000006</v>
      </c>
      <c r="H12" s="7">
        <v>14800</v>
      </c>
      <c r="I12" s="5">
        <v>1160.320000000004</v>
      </c>
      <c r="J12" s="5">
        <v>1160.320000000004</v>
      </c>
      <c r="K12" t="s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cols>
    <col min="1" max="1" width="24.7109375" customWidth="1"/>
    <col min="2" max="2" width="15.7109375" customWidth="1"/>
    <col min="3" max="3" width="5.7109375" customWidth="1"/>
    <col min="4" max="5" width="11.7109375" customWidth="1"/>
    <col min="6" max="7" width="13.7109375" customWidth="1"/>
    <col min="8" max="8" width="16.7109375" customWidth="1"/>
  </cols>
  <sheetData>
    <row r="1" spans="1:8">
      <c r="A1" s="4" t="s">
        <v>91</v>
      </c>
      <c r="B1" s="4" t="s">
        <v>92</v>
      </c>
      <c r="C1" s="4" t="s">
        <v>93</v>
      </c>
      <c r="D1" s="4" t="s">
        <v>244</v>
      </c>
      <c r="E1" s="4" t="s">
        <v>245</v>
      </c>
      <c r="F1" s="4" t="s">
        <v>246</v>
      </c>
      <c r="G1" s="4" t="s">
        <v>247</v>
      </c>
      <c r="H1" s="4" t="s">
        <v>248</v>
      </c>
    </row>
    <row r="2" spans="1:8">
      <c r="A2" t="s">
        <v>21</v>
      </c>
      <c r="B2" t="s">
        <v>249</v>
      </c>
      <c r="C2">
        <v>2</v>
      </c>
      <c r="D2">
        <v>11305</v>
      </c>
      <c r="E2">
        <v>13300</v>
      </c>
      <c r="F2" t="s">
        <v>250</v>
      </c>
      <c r="G2" t="s">
        <v>250</v>
      </c>
      <c r="H2" t="s">
        <v>251</v>
      </c>
    </row>
    <row r="3" spans="1:8">
      <c r="A3" t="s">
        <v>21</v>
      </c>
      <c r="B3" t="s">
        <v>252</v>
      </c>
      <c r="C3">
        <v>2</v>
      </c>
      <c r="D3">
        <v>13900</v>
      </c>
      <c r="E3">
        <v>13900</v>
      </c>
      <c r="F3" t="s">
        <v>253</v>
      </c>
      <c r="G3" t="s">
        <v>254</v>
      </c>
      <c r="H3" t="s">
        <v>255</v>
      </c>
    </row>
    <row r="4" spans="1:8">
      <c r="A4" t="s">
        <v>21</v>
      </c>
      <c r="B4" t="s">
        <v>241</v>
      </c>
      <c r="C4">
        <v>2</v>
      </c>
      <c r="D4">
        <v>3910</v>
      </c>
      <c r="E4">
        <v>4600</v>
      </c>
      <c r="F4" t="s">
        <v>141</v>
      </c>
      <c r="G4" t="s">
        <v>141</v>
      </c>
      <c r="H4" t="s">
        <v>251</v>
      </c>
    </row>
    <row r="5" spans="1:8">
      <c r="A5" t="s">
        <v>21</v>
      </c>
      <c r="B5" t="s">
        <v>256</v>
      </c>
      <c r="C5">
        <v>1</v>
      </c>
      <c r="D5">
        <v>18300</v>
      </c>
      <c r="E5">
        <v>18300</v>
      </c>
      <c r="F5" t="s">
        <v>113</v>
      </c>
      <c r="G5" t="s">
        <v>257</v>
      </c>
      <c r="H5" t="s">
        <v>255</v>
      </c>
    </row>
    <row r="6" spans="1:8">
      <c r="A6" t="s">
        <v>21</v>
      </c>
      <c r="B6" t="s">
        <v>242</v>
      </c>
      <c r="C6">
        <v>2</v>
      </c>
      <c r="D6">
        <v>12580</v>
      </c>
      <c r="E6">
        <v>14800</v>
      </c>
      <c r="F6" t="s">
        <v>258</v>
      </c>
      <c r="G6" t="s">
        <v>258</v>
      </c>
      <c r="H6" t="s">
        <v>251</v>
      </c>
    </row>
    <row r="7" spans="1:8">
      <c r="A7" t="s">
        <v>21</v>
      </c>
      <c r="B7" t="s">
        <v>259</v>
      </c>
      <c r="C7">
        <v>1</v>
      </c>
      <c r="D7">
        <v>15400</v>
      </c>
      <c r="E7">
        <v>15400</v>
      </c>
      <c r="F7" t="s">
        <v>260</v>
      </c>
      <c r="G7" t="s">
        <v>261</v>
      </c>
      <c r="H7" t="s">
        <v>255</v>
      </c>
    </row>
    <row r="8" spans="1:8">
      <c r="A8" t="s">
        <v>21</v>
      </c>
      <c r="B8" t="s">
        <v>262</v>
      </c>
      <c r="C8">
        <v>1</v>
      </c>
      <c r="D8">
        <v>24700</v>
      </c>
      <c r="E8">
        <v>24700</v>
      </c>
      <c r="F8" t="s">
        <v>263</v>
      </c>
      <c r="G8" t="s">
        <v>264</v>
      </c>
      <c r="H8" t="s">
        <v>255</v>
      </c>
    </row>
    <row r="9" spans="1:8">
      <c r="A9" t="s">
        <v>22</v>
      </c>
      <c r="B9" t="s">
        <v>265</v>
      </c>
      <c r="C9">
        <v>1</v>
      </c>
      <c r="D9">
        <v>13005</v>
      </c>
      <c r="E9">
        <v>15300</v>
      </c>
      <c r="F9" t="s">
        <v>263</v>
      </c>
      <c r="G9" t="s">
        <v>263</v>
      </c>
      <c r="H9" t="s">
        <v>251</v>
      </c>
    </row>
    <row r="10" spans="1:8">
      <c r="A10" t="s">
        <v>22</v>
      </c>
      <c r="B10" t="s">
        <v>266</v>
      </c>
      <c r="C10">
        <v>1</v>
      </c>
      <c r="D10">
        <v>23000</v>
      </c>
      <c r="E10">
        <v>23000</v>
      </c>
      <c r="F10" t="s">
        <v>264</v>
      </c>
      <c r="G10" t="s">
        <v>186</v>
      </c>
      <c r="H10" t="s">
        <v>255</v>
      </c>
    </row>
    <row r="11" spans="1:8">
      <c r="A11" t="s">
        <v>22</v>
      </c>
      <c r="B11" t="s">
        <v>267</v>
      </c>
      <c r="C11">
        <v>2</v>
      </c>
      <c r="D11">
        <v>17000</v>
      </c>
      <c r="E11">
        <v>20000</v>
      </c>
      <c r="F11" t="s">
        <v>130</v>
      </c>
      <c r="G11" t="s">
        <v>130</v>
      </c>
      <c r="H11" t="s">
        <v>251</v>
      </c>
    </row>
    <row r="12" spans="1:8">
      <c r="A12" t="s">
        <v>22</v>
      </c>
      <c r="B12" t="s">
        <v>268</v>
      </c>
      <c r="C12">
        <v>1</v>
      </c>
      <c r="D12">
        <v>8245</v>
      </c>
      <c r="E12">
        <v>9700</v>
      </c>
      <c r="F12" t="s">
        <v>175</v>
      </c>
      <c r="G12" t="s">
        <v>175</v>
      </c>
      <c r="H12" t="s">
        <v>251</v>
      </c>
    </row>
    <row r="13" spans="1:8">
      <c r="A13" t="s">
        <v>22</v>
      </c>
      <c r="B13" t="s">
        <v>269</v>
      </c>
      <c r="C13">
        <v>1</v>
      </c>
      <c r="D13">
        <v>11800</v>
      </c>
      <c r="E13">
        <v>11800</v>
      </c>
      <c r="F13" t="s">
        <v>159</v>
      </c>
      <c r="G13" t="s">
        <v>270</v>
      </c>
      <c r="H13" t="s">
        <v>255</v>
      </c>
    </row>
    <row r="14" spans="1:8">
      <c r="A14" t="s">
        <v>22</v>
      </c>
      <c r="B14" t="s">
        <v>271</v>
      </c>
      <c r="C14">
        <v>2</v>
      </c>
      <c r="D14">
        <v>1955</v>
      </c>
      <c r="E14">
        <v>2300</v>
      </c>
      <c r="F14" t="s">
        <v>232</v>
      </c>
      <c r="G14" t="s">
        <v>232</v>
      </c>
      <c r="H14" t="s">
        <v>251</v>
      </c>
    </row>
    <row r="15" spans="1:8">
      <c r="A15" t="s">
        <v>22</v>
      </c>
      <c r="B15" t="s">
        <v>177</v>
      </c>
      <c r="C15">
        <v>2</v>
      </c>
      <c r="D15">
        <v>6120</v>
      </c>
      <c r="E15">
        <v>7200</v>
      </c>
      <c r="F15" t="s">
        <v>272</v>
      </c>
      <c r="G15" t="s">
        <v>272</v>
      </c>
      <c r="H15" t="s">
        <v>251</v>
      </c>
    </row>
    <row r="16" spans="1:8">
      <c r="A16" t="s">
        <v>22</v>
      </c>
      <c r="B16" t="s">
        <v>273</v>
      </c>
      <c r="C16">
        <v>1</v>
      </c>
      <c r="D16">
        <v>9350</v>
      </c>
      <c r="E16">
        <v>11000</v>
      </c>
      <c r="F16" t="s">
        <v>274</v>
      </c>
      <c r="G16" t="s">
        <v>274</v>
      </c>
      <c r="H16" t="s">
        <v>251</v>
      </c>
    </row>
    <row r="17" spans="1:8">
      <c r="A17" t="s">
        <v>22</v>
      </c>
      <c r="B17" t="s">
        <v>275</v>
      </c>
      <c r="C17">
        <v>2</v>
      </c>
      <c r="D17">
        <v>16830</v>
      </c>
      <c r="E17">
        <v>19800</v>
      </c>
      <c r="F17" t="s">
        <v>276</v>
      </c>
      <c r="G17" t="s">
        <v>276</v>
      </c>
      <c r="H17" t="s">
        <v>251</v>
      </c>
    </row>
    <row r="18" spans="1:8">
      <c r="A18" t="s">
        <v>22</v>
      </c>
      <c r="B18" t="s">
        <v>277</v>
      </c>
      <c r="C18">
        <v>1</v>
      </c>
      <c r="D18">
        <v>11500</v>
      </c>
      <c r="E18">
        <v>11500</v>
      </c>
      <c r="F18" t="s">
        <v>111</v>
      </c>
      <c r="G18" t="s">
        <v>278</v>
      </c>
      <c r="H18" t="s">
        <v>255</v>
      </c>
    </row>
    <row r="19" spans="1:8">
      <c r="A19" t="s">
        <v>23</v>
      </c>
      <c r="B19" t="s">
        <v>279</v>
      </c>
      <c r="C19">
        <v>3</v>
      </c>
      <c r="D19">
        <v>2592</v>
      </c>
      <c r="E19">
        <v>3050</v>
      </c>
      <c r="F19" t="s">
        <v>280</v>
      </c>
      <c r="G19" t="s">
        <v>280</v>
      </c>
      <c r="H19" t="s">
        <v>251</v>
      </c>
    </row>
    <row r="20" spans="1:8">
      <c r="A20" t="s">
        <v>23</v>
      </c>
      <c r="B20" t="s">
        <v>281</v>
      </c>
      <c r="C20">
        <v>1</v>
      </c>
      <c r="D20">
        <v>5900</v>
      </c>
      <c r="E20">
        <v>5900</v>
      </c>
      <c r="F20" t="s">
        <v>282</v>
      </c>
      <c r="G20" t="s">
        <v>182</v>
      </c>
      <c r="H20" t="s">
        <v>255</v>
      </c>
    </row>
    <row r="21" spans="1:8">
      <c r="A21" t="s">
        <v>23</v>
      </c>
      <c r="B21" t="s">
        <v>283</v>
      </c>
      <c r="C21">
        <v>1</v>
      </c>
      <c r="D21">
        <v>1530</v>
      </c>
      <c r="E21">
        <v>1800</v>
      </c>
      <c r="F21" t="s">
        <v>158</v>
      </c>
      <c r="G21" t="s">
        <v>158</v>
      </c>
      <c r="H21" t="s">
        <v>251</v>
      </c>
    </row>
    <row r="22" spans="1:8">
      <c r="A22" t="s">
        <v>23</v>
      </c>
      <c r="B22" t="s">
        <v>284</v>
      </c>
      <c r="C22">
        <v>1</v>
      </c>
      <c r="D22">
        <v>6120</v>
      </c>
      <c r="E22">
        <v>7200</v>
      </c>
      <c r="F22" t="s">
        <v>254</v>
      </c>
      <c r="G22" t="s">
        <v>254</v>
      </c>
      <c r="H22" t="s">
        <v>251</v>
      </c>
    </row>
    <row r="23" spans="1:8">
      <c r="A23" t="s">
        <v>24</v>
      </c>
      <c r="B23" t="s">
        <v>285</v>
      </c>
      <c r="C23">
        <v>1</v>
      </c>
      <c r="D23">
        <v>1700</v>
      </c>
      <c r="E23">
        <v>2000</v>
      </c>
      <c r="F23" t="s">
        <v>151</v>
      </c>
      <c r="G23" t="s">
        <v>151</v>
      </c>
      <c r="H23" t="s">
        <v>251</v>
      </c>
    </row>
    <row r="24" spans="1:8">
      <c r="A24" t="s">
        <v>24</v>
      </c>
      <c r="B24" t="s">
        <v>286</v>
      </c>
      <c r="C24">
        <v>2</v>
      </c>
      <c r="D24">
        <v>6247</v>
      </c>
      <c r="E24">
        <v>7350</v>
      </c>
      <c r="F24" t="s">
        <v>287</v>
      </c>
      <c r="G24" t="s">
        <v>287</v>
      </c>
      <c r="H24" t="s">
        <v>251</v>
      </c>
    </row>
    <row r="25" spans="1:8">
      <c r="A25" t="s">
        <v>24</v>
      </c>
      <c r="B25" t="s">
        <v>288</v>
      </c>
      <c r="C25">
        <v>1</v>
      </c>
      <c r="D25">
        <v>3910</v>
      </c>
      <c r="E25">
        <v>4600</v>
      </c>
      <c r="F25" t="s">
        <v>289</v>
      </c>
      <c r="G25" t="s">
        <v>289</v>
      </c>
      <c r="H25" t="s">
        <v>251</v>
      </c>
    </row>
    <row r="26" spans="1:8">
      <c r="A26" t="s">
        <v>24</v>
      </c>
      <c r="B26" t="s">
        <v>290</v>
      </c>
      <c r="C26">
        <v>1</v>
      </c>
      <c r="D26">
        <v>4505</v>
      </c>
      <c r="E26">
        <v>5300</v>
      </c>
      <c r="F26" t="s">
        <v>254</v>
      </c>
      <c r="G26" t="s">
        <v>254</v>
      </c>
      <c r="H26" t="s">
        <v>251</v>
      </c>
    </row>
    <row r="27" spans="1:8">
      <c r="A27" t="s">
        <v>25</v>
      </c>
      <c r="B27" t="s">
        <v>291</v>
      </c>
      <c r="C27">
        <v>1</v>
      </c>
      <c r="D27">
        <v>19</v>
      </c>
      <c r="E27">
        <v>23</v>
      </c>
      <c r="F27" t="s">
        <v>292</v>
      </c>
      <c r="G27" t="s">
        <v>292</v>
      </c>
      <c r="H27" t="s">
        <v>251</v>
      </c>
    </row>
    <row r="28" spans="1:8">
      <c r="A28" t="s">
        <v>26</v>
      </c>
      <c r="B28" t="s">
        <v>293</v>
      </c>
      <c r="C28">
        <v>1</v>
      </c>
      <c r="D28">
        <v>1122</v>
      </c>
      <c r="E28">
        <v>1320</v>
      </c>
      <c r="F28" t="s">
        <v>287</v>
      </c>
      <c r="G28" t="s">
        <v>287</v>
      </c>
      <c r="H28" t="s">
        <v>251</v>
      </c>
    </row>
    <row r="29" spans="1:8">
      <c r="A29" t="s">
        <v>26</v>
      </c>
      <c r="B29" t="s">
        <v>294</v>
      </c>
      <c r="C29">
        <v>1</v>
      </c>
      <c r="D29">
        <v>720</v>
      </c>
      <c r="E29">
        <v>720</v>
      </c>
      <c r="F29" t="s">
        <v>295</v>
      </c>
      <c r="G29" t="s">
        <v>296</v>
      </c>
      <c r="H29" t="s">
        <v>255</v>
      </c>
    </row>
    <row r="30" spans="1:8">
      <c r="A30" t="s">
        <v>26</v>
      </c>
      <c r="B30" t="s">
        <v>297</v>
      </c>
      <c r="C30">
        <v>1</v>
      </c>
      <c r="D30">
        <v>1530</v>
      </c>
      <c r="E30">
        <v>1800</v>
      </c>
      <c r="F30" t="s">
        <v>298</v>
      </c>
      <c r="G30" t="s">
        <v>298</v>
      </c>
      <c r="H30" t="s">
        <v>251</v>
      </c>
    </row>
    <row r="31" spans="1:8">
      <c r="A31" t="s">
        <v>26</v>
      </c>
      <c r="B31" t="s">
        <v>299</v>
      </c>
      <c r="C31">
        <v>1</v>
      </c>
      <c r="D31">
        <v>1088</v>
      </c>
      <c r="E31">
        <v>1280</v>
      </c>
      <c r="F31" t="s">
        <v>300</v>
      </c>
      <c r="G31" t="s">
        <v>300</v>
      </c>
      <c r="H31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6.7109375" customWidth="1"/>
    <col min="2" max="3" width="15.7109375" customWidth="1"/>
    <col min="4" max="4" width="45.7109375" customWidth="1"/>
    <col min="5" max="5" width="70.7109375" customWidth="1"/>
  </cols>
  <sheetData>
    <row r="1" spans="1:5">
      <c r="A1" s="4" t="s">
        <v>91</v>
      </c>
      <c r="B1" s="4" t="s">
        <v>301</v>
      </c>
      <c r="C1" s="4" t="s">
        <v>302</v>
      </c>
      <c r="D1" s="4" t="s">
        <v>303</v>
      </c>
      <c r="E1" s="4" t="s">
        <v>304</v>
      </c>
    </row>
    <row r="2" spans="1:5">
      <c r="A2" s="10" t="s">
        <v>22</v>
      </c>
      <c r="B2" s="10" t="s">
        <v>305</v>
      </c>
      <c r="C2" s="10" t="s">
        <v>306</v>
      </c>
      <c r="D2" s="10" t="s">
        <v>307</v>
      </c>
      <c r="E2" s="10" t="s">
        <v>308</v>
      </c>
    </row>
    <row r="3" spans="1:5">
      <c r="A3" s="10" t="s">
        <v>25</v>
      </c>
      <c r="B3" s="10" t="s">
        <v>309</v>
      </c>
      <c r="C3" s="10" t="s">
        <v>147</v>
      </c>
      <c r="D3" s="10" t="s">
        <v>307</v>
      </c>
      <c r="E3" s="10" t="s">
        <v>310</v>
      </c>
    </row>
    <row r="4" spans="1:5">
      <c r="A4" s="3" t="s">
        <v>22</v>
      </c>
      <c r="B4" s="3" t="s">
        <v>311</v>
      </c>
      <c r="C4" s="3" t="s">
        <v>166</v>
      </c>
      <c r="D4" s="3" t="s">
        <v>312</v>
      </c>
      <c r="E4" s="3" t="s">
        <v>313</v>
      </c>
    </row>
    <row r="5" spans="1:5">
      <c r="A5" s="3" t="s">
        <v>22</v>
      </c>
      <c r="B5" s="3" t="s">
        <v>314</v>
      </c>
      <c r="C5" s="3" t="s">
        <v>197</v>
      </c>
      <c r="D5" s="3" t="s">
        <v>312</v>
      </c>
      <c r="E5" s="3" t="s">
        <v>315</v>
      </c>
    </row>
    <row r="6" spans="1:5">
      <c r="A6" s="3" t="s">
        <v>22</v>
      </c>
      <c r="B6" s="3" t="s">
        <v>316</v>
      </c>
      <c r="C6" s="3" t="s">
        <v>149</v>
      </c>
      <c r="D6" s="3" t="s">
        <v>312</v>
      </c>
      <c r="E6" s="3" t="s">
        <v>317</v>
      </c>
    </row>
    <row r="7" spans="1:5">
      <c r="A7" s="3" t="s">
        <v>22</v>
      </c>
      <c r="B7" s="3" t="s">
        <v>318</v>
      </c>
      <c r="C7" s="3" t="s">
        <v>306</v>
      </c>
      <c r="D7" s="3" t="s">
        <v>312</v>
      </c>
      <c r="E7" s="3" t="s">
        <v>319</v>
      </c>
    </row>
    <row r="8" spans="1:5">
      <c r="A8" s="3" t="s">
        <v>22</v>
      </c>
      <c r="B8" s="3" t="s">
        <v>320</v>
      </c>
      <c r="C8" s="3" t="s">
        <v>136</v>
      </c>
      <c r="D8" s="3" t="s">
        <v>312</v>
      </c>
      <c r="E8" s="3" t="s">
        <v>321</v>
      </c>
    </row>
    <row r="9" spans="1:5">
      <c r="A9" s="3" t="s">
        <v>25</v>
      </c>
      <c r="B9" s="3" t="s">
        <v>320</v>
      </c>
      <c r="C9" s="3" t="s">
        <v>322</v>
      </c>
      <c r="D9" s="3" t="s">
        <v>312</v>
      </c>
      <c r="E9" s="3" t="s">
        <v>323</v>
      </c>
    </row>
    <row r="10" spans="1:5">
      <c r="A10" s="3" t="s">
        <v>25</v>
      </c>
      <c r="B10" s="3" t="s">
        <v>324</v>
      </c>
      <c r="C10" s="3" t="s">
        <v>104</v>
      </c>
      <c r="D10" s="3" t="s">
        <v>312</v>
      </c>
      <c r="E10" s="3" t="s">
        <v>325</v>
      </c>
    </row>
    <row r="11" spans="1:5">
      <c r="A11" s="3" t="s">
        <v>25</v>
      </c>
      <c r="B11" s="3" t="s">
        <v>326</v>
      </c>
      <c r="C11" s="3" t="s">
        <v>147</v>
      </c>
      <c r="D11" s="3" t="s">
        <v>312</v>
      </c>
      <c r="E11" s="3" t="s">
        <v>327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60.7109375" customWidth="1"/>
    <col min="2" max="2" width="22.7109375" customWidth="1"/>
    <col min="3" max="3" width="80.7109375" customWidth="1"/>
  </cols>
  <sheetData>
    <row r="1" spans="1:3">
      <c r="A1" s="4" t="s">
        <v>328</v>
      </c>
      <c r="B1" s="4" t="s">
        <v>329</v>
      </c>
      <c r="C1" s="4" t="s">
        <v>330</v>
      </c>
    </row>
    <row r="2" spans="1:3">
      <c r="A2" s="3" t="s">
        <v>331</v>
      </c>
      <c r="B2" s="3" t="s">
        <v>332</v>
      </c>
      <c r="C2" s="3" t="s">
        <v>333</v>
      </c>
    </row>
    <row r="3" spans="1:3">
      <c r="A3" s="3" t="s">
        <v>334</v>
      </c>
      <c r="B3" s="3" t="s">
        <v>335</v>
      </c>
      <c r="C3" s="3" t="s">
        <v>336</v>
      </c>
    </row>
    <row r="4" spans="1:3">
      <c r="A4" s="3" t="s">
        <v>337</v>
      </c>
      <c r="B4" s="3" t="s">
        <v>338</v>
      </c>
      <c r="C4" s="3" t="s">
        <v>339</v>
      </c>
    </row>
    <row r="5" spans="1:3">
      <c r="A5" s="3" t="s">
        <v>340</v>
      </c>
      <c r="B5" s="3" t="s">
        <v>341</v>
      </c>
      <c r="C5" s="3" t="s">
        <v>342</v>
      </c>
    </row>
    <row r="6" spans="1:3">
      <c r="A6" s="3" t="s">
        <v>343</v>
      </c>
      <c r="B6" s="3" t="s">
        <v>344</v>
      </c>
      <c r="C6" s="3" t="s">
        <v>345</v>
      </c>
    </row>
    <row r="7" spans="1:3">
      <c r="A7" s="3" t="s">
        <v>346</v>
      </c>
      <c r="B7" s="3" t="s">
        <v>347</v>
      </c>
      <c r="C7" s="3" t="s">
        <v>348</v>
      </c>
    </row>
    <row r="8" spans="1:3">
      <c r="A8" s="3" t="s">
        <v>349</v>
      </c>
      <c r="B8" s="3" t="s">
        <v>350</v>
      </c>
      <c r="C8" s="3" t="s">
        <v>351</v>
      </c>
    </row>
    <row r="9" spans="1:3">
      <c r="A9" s="3" t="s">
        <v>352</v>
      </c>
      <c r="B9" s="3" t="s">
        <v>353</v>
      </c>
      <c r="C9" s="3" t="s">
        <v>354</v>
      </c>
    </row>
    <row r="10" spans="1:3">
      <c r="A10" s="3" t="s">
        <v>355</v>
      </c>
      <c r="B10" s="3" t="s">
        <v>356</v>
      </c>
      <c r="C10" s="3" t="s">
        <v>357</v>
      </c>
    </row>
    <row r="11" spans="1:3">
      <c r="A11" s="3" t="s">
        <v>358</v>
      </c>
      <c r="B11" s="3" t="s">
        <v>359</v>
      </c>
      <c r="C11" s="3" t="s">
        <v>360</v>
      </c>
    </row>
    <row r="14" spans="1:3">
      <c r="A14" s="2" t="s">
        <v>361</v>
      </c>
    </row>
    <row r="15" spans="1:3">
      <c r="A15" t="s">
        <v>362</v>
      </c>
      <c r="B15" s="5">
        <v>28187145.87</v>
      </c>
    </row>
    <row r="16" spans="1:3">
      <c r="A16" t="s">
        <v>363</v>
      </c>
      <c r="B16" s="5">
        <v>29503886.49</v>
      </c>
    </row>
    <row r="17" spans="1:2">
      <c r="A17" t="s">
        <v>364</v>
      </c>
      <c r="B17" s="5">
        <v>25295562.47</v>
      </c>
    </row>
    <row r="18" spans="1:2">
      <c r="A18" t="s">
        <v>365</v>
      </c>
      <c r="B18" s="5">
        <v>75999.42763999989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6.7109375" customWidth="1"/>
    <col min="2" max="2" width="120.7109375" customWidth="1"/>
  </cols>
  <sheetData>
    <row r="1" spans="1:2">
      <c r="A1" s="4" t="s">
        <v>40</v>
      </c>
      <c r="B1" s="4" t="s">
        <v>366</v>
      </c>
    </row>
    <row r="2" spans="1:2">
      <c r="A2" s="3" t="s">
        <v>41</v>
      </c>
      <c r="B2" s="3" t="s">
        <v>367</v>
      </c>
    </row>
    <row r="3" spans="1:2">
      <c r="A3" s="3" t="s">
        <v>368</v>
      </c>
      <c r="B3" s="3" t="s">
        <v>369</v>
      </c>
    </row>
    <row r="4" spans="1:2">
      <c r="A4" s="3" t="s">
        <v>370</v>
      </c>
      <c r="B4" s="3" t="s">
        <v>371</v>
      </c>
    </row>
    <row r="5" spans="1:2">
      <c r="A5" s="3" t="s">
        <v>372</v>
      </c>
      <c r="B5" s="3" t="s">
        <v>373</v>
      </c>
    </row>
    <row r="6" spans="1:2">
      <c r="A6" s="3" t="s">
        <v>374</v>
      </c>
      <c r="B6" s="3" t="s">
        <v>375</v>
      </c>
    </row>
    <row r="7" spans="1:2">
      <c r="A7" s="3" t="s">
        <v>376</v>
      </c>
      <c r="B7" s="3" t="s">
        <v>377</v>
      </c>
    </row>
    <row r="8" spans="1:2">
      <c r="A8" s="3" t="s">
        <v>378</v>
      </c>
      <c r="B8" s="3" t="s">
        <v>379</v>
      </c>
    </row>
    <row r="9" spans="1:2">
      <c r="A9" s="3" t="s">
        <v>380</v>
      </c>
      <c r="B9" s="3" t="s">
        <v>381</v>
      </c>
    </row>
    <row r="10" spans="1:2">
      <c r="A10" s="3" t="s">
        <v>382</v>
      </c>
      <c r="B10" s="3" t="s">
        <v>383</v>
      </c>
    </row>
    <row r="11" spans="1:2">
      <c r="A11" s="3" t="s">
        <v>384</v>
      </c>
      <c r="B11" s="3" t="s">
        <v>385</v>
      </c>
    </row>
    <row r="12" spans="1:2">
      <c r="A12" s="3" t="s">
        <v>386</v>
      </c>
      <c r="B12" s="3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Monthly Value</vt:lpstr>
      <vt:lpstr>Vendor Scorecard</vt:lpstr>
      <vt:lpstr>On-time Trend</vt:lpstr>
      <vt:lpstr>Past-due Open Lines</vt:lpstr>
      <vt:lpstr>Price Above PO</vt:lpstr>
      <vt:lpstr>Revised Confirmations</vt:lpstr>
      <vt:lpstr>PN Crosswalk</vt:lpstr>
      <vt:lpstr>Data Quality</vt:lpstr>
      <vt:lpstr>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2026-09-30T18:05:45Z</dcterms:created>
  <dcterms:modified xsi:type="dcterms:W3CDTF">2026-09-30T18:05:45Z</dcterms:modified>
</cp:coreProperties>
</file>